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s" sheetId="1" state="visible" r:id="rId1"/>
    <sheet xmlns:r="http://schemas.openxmlformats.org/officeDocument/2006/relationships"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0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28" customWidth="1" min="10" max="10"/>
    <col width="12" customWidth="1" min="11" max="11"/>
    <col width="13" customWidth="1" min="12" max="12"/>
    <col width="10" customWidth="1" min="13" max="13"/>
    <col width="10" customWidth="1" min="14" max="14"/>
    <col width="10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Date</t>
        </is>
      </c>
      <c r="B1" s="1" t="inlineStr">
        <is>
          <t>Lieu/Casino</t>
        </is>
      </c>
      <c r="C1" s="1" t="inlineStr">
        <is>
          <t>Jeu</t>
        </is>
      </c>
      <c r="D1" s="1" t="inlineStr">
        <is>
          <t>Roue (EU/US)</t>
        </is>
      </c>
      <c r="E1" s="1" t="inlineStr">
        <is>
          <t>Strategie/Tag</t>
        </is>
      </c>
      <c r="F1" s="1" t="inlineStr">
        <is>
          <t>Base unit (€)</t>
        </is>
      </c>
      <c r="G1" s="1" t="inlineStr">
        <is>
          <t>Buy-in (€)</t>
        </is>
      </c>
      <c r="H1" s="1" t="inlineStr">
        <is>
          <t>Cash-out (€)</t>
        </is>
      </c>
      <c r="I1" s="1" t="inlineStr">
        <is>
          <t>Duree (min)</t>
        </is>
      </c>
      <c r="J1" s="1" t="inlineStr">
        <is>
          <t>Notes</t>
        </is>
      </c>
      <c r="K1" s="1" t="inlineStr">
        <is>
          <t>Stop (type)</t>
        </is>
      </c>
      <c r="L1" s="1" t="inlineStr">
        <is>
          <t>Stop (valeur)</t>
        </is>
      </c>
      <c r="M1" s="1" t="inlineStr">
        <is>
          <t>P&amp;L (€)</t>
        </is>
      </c>
      <c r="N1" s="1" t="inlineStr">
        <is>
          <t>ROI</t>
        </is>
      </c>
      <c r="O1" s="1" t="inlineStr">
        <is>
          <t>€ / h</t>
        </is>
      </c>
      <c r="P1" s="1" t="inlineStr">
        <is>
          <t>Cumul P&amp;L</t>
        </is>
      </c>
      <c r="Q1" s="1" t="inlineStr">
        <is>
          <t>Peak cumul</t>
        </is>
      </c>
      <c r="R1" s="1" t="inlineStr">
        <is>
          <t>Drawdown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>
        <f>H2-G2</f>
        <v/>
      </c>
      <c r="N2" s="3">
        <f>IF(G2=0,"",M2/G2)</f>
        <v/>
      </c>
      <c r="O2" s="3">
        <f>IF(I2=0,"",M2/(I2/60))</f>
        <v/>
      </c>
      <c r="P2" s="3">
        <f>IF(A2="","",SUM($M$2:M2))</f>
        <v/>
      </c>
      <c r="Q2" s="3">
        <f>IF(P2="","",MAX($P$2:P2))</f>
        <v/>
      </c>
      <c r="R2" s="3">
        <f>IF(P2="","",P2-Q2)</f>
        <v/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3">
        <f>H3-G3</f>
        <v/>
      </c>
      <c r="N3" s="3">
        <f>IF(G3=0,"",M3/G3)</f>
        <v/>
      </c>
      <c r="O3" s="3">
        <f>IF(I3=0,"",M3/(I3/60))</f>
        <v/>
      </c>
      <c r="P3" s="3">
        <f>IF(A3="","",SUM($M$2:M3))</f>
        <v/>
      </c>
      <c r="Q3" s="3">
        <f>IF(P3="","",MAX($P$2:P3))</f>
        <v/>
      </c>
      <c r="R3" s="3">
        <f>IF(P3="","",P3-Q3)</f>
        <v/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3">
        <f>H4-G4</f>
        <v/>
      </c>
      <c r="N4" s="3">
        <f>IF(G4=0,"",M4/G4)</f>
        <v/>
      </c>
      <c r="O4" s="3">
        <f>IF(I4=0,"",M4/(I4/60))</f>
        <v/>
      </c>
      <c r="P4" s="3">
        <f>IF(A4="","",SUM($M$2:M4))</f>
        <v/>
      </c>
      <c r="Q4" s="3">
        <f>IF(P4="","",MAX($P$2:P4))</f>
        <v/>
      </c>
      <c r="R4" s="3">
        <f>IF(P4="","",P4-Q4)</f>
        <v/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3">
        <f>H5-G5</f>
        <v/>
      </c>
      <c r="N5" s="3">
        <f>IF(G5=0,"",M5/G5)</f>
        <v/>
      </c>
      <c r="O5" s="3">
        <f>IF(I5=0,"",M5/(I5/60))</f>
        <v/>
      </c>
      <c r="P5" s="3">
        <f>IF(A5="","",SUM($M$2:M5))</f>
        <v/>
      </c>
      <c r="Q5" s="3">
        <f>IF(P5="","",MAX($P$2:P5))</f>
        <v/>
      </c>
      <c r="R5" s="3">
        <f>IF(P5="","",P5-Q5)</f>
        <v/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3">
        <f>H6-G6</f>
        <v/>
      </c>
      <c r="N6" s="3">
        <f>IF(G6=0,"",M6/G6)</f>
        <v/>
      </c>
      <c r="O6" s="3">
        <f>IF(I6=0,"",M6/(I6/60))</f>
        <v/>
      </c>
      <c r="P6" s="3">
        <f>IF(A6="","",SUM($M$2:M6))</f>
        <v/>
      </c>
      <c r="Q6" s="3">
        <f>IF(P6="","",MAX($P$2:P6))</f>
        <v/>
      </c>
      <c r="R6" s="3">
        <f>IF(P6="","",P6-Q6)</f>
        <v/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3">
        <f>H7-G7</f>
        <v/>
      </c>
      <c r="N7" s="3">
        <f>IF(G7=0,"",M7/G7)</f>
        <v/>
      </c>
      <c r="O7" s="3">
        <f>IF(I7=0,"",M7/(I7/60))</f>
        <v/>
      </c>
      <c r="P7" s="3">
        <f>IF(A7="","",SUM($M$2:M7))</f>
        <v/>
      </c>
      <c r="Q7" s="3">
        <f>IF(P7="","",MAX($P$2:P7))</f>
        <v/>
      </c>
      <c r="R7" s="3">
        <f>IF(P7="","",P7-Q7)</f>
        <v/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3">
        <f>H8-G8</f>
        <v/>
      </c>
      <c r="N8" s="3">
        <f>IF(G8=0,"",M8/G8)</f>
        <v/>
      </c>
      <c r="O8" s="3">
        <f>IF(I8=0,"",M8/(I8/60))</f>
        <v/>
      </c>
      <c r="P8" s="3">
        <f>IF(A8="","",SUM($M$2:M8))</f>
        <v/>
      </c>
      <c r="Q8" s="3">
        <f>IF(P8="","",MAX($P$2:P8))</f>
        <v/>
      </c>
      <c r="R8" s="3">
        <f>IF(P8="","",P8-Q8)</f>
        <v/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3">
        <f>H9-G9</f>
        <v/>
      </c>
      <c r="N9" s="3">
        <f>IF(G9=0,"",M9/G9)</f>
        <v/>
      </c>
      <c r="O9" s="3">
        <f>IF(I9=0,"",M9/(I9/60))</f>
        <v/>
      </c>
      <c r="P9" s="3">
        <f>IF(A9="","",SUM($M$2:M9))</f>
        <v/>
      </c>
      <c r="Q9" s="3">
        <f>IF(P9="","",MAX($P$2:P9))</f>
        <v/>
      </c>
      <c r="R9" s="3">
        <f>IF(P9="","",P9-Q9)</f>
        <v/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3">
        <f>H10-G10</f>
        <v/>
      </c>
      <c r="N10" s="3">
        <f>IF(G10=0,"",M10/G10)</f>
        <v/>
      </c>
      <c r="O10" s="3">
        <f>IF(I10=0,"",M10/(I10/60))</f>
        <v/>
      </c>
      <c r="P10" s="3">
        <f>IF(A10="","",SUM($M$2:M10))</f>
        <v/>
      </c>
      <c r="Q10" s="3">
        <f>IF(P10="","",MAX($P$2:P10))</f>
        <v/>
      </c>
      <c r="R10" s="3">
        <f>IF(P10="","",P10-Q10)</f>
        <v/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3">
        <f>H11-G11</f>
        <v/>
      </c>
      <c r="N11" s="3">
        <f>IF(G11=0,"",M11/G11)</f>
        <v/>
      </c>
      <c r="O11" s="3">
        <f>IF(I11=0,"",M11/(I11/60))</f>
        <v/>
      </c>
      <c r="P11" s="3">
        <f>IF(A11="","",SUM($M$2:M11))</f>
        <v/>
      </c>
      <c r="Q11" s="3">
        <f>IF(P11="","",MAX($P$2:P11))</f>
        <v/>
      </c>
      <c r="R11" s="3">
        <f>IF(P11="","",P11-Q11)</f>
        <v/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3">
        <f>H12-G12</f>
        <v/>
      </c>
      <c r="N12" s="3">
        <f>IF(G12=0,"",M12/G12)</f>
        <v/>
      </c>
      <c r="O12" s="3">
        <f>IF(I12=0,"",M12/(I12/60))</f>
        <v/>
      </c>
      <c r="P12" s="3">
        <f>IF(A12="","",SUM($M$2:M12))</f>
        <v/>
      </c>
      <c r="Q12" s="3">
        <f>IF(P12="","",MAX($P$2:P12))</f>
        <v/>
      </c>
      <c r="R12" s="3">
        <f>IF(P12="","",P12-Q12)</f>
        <v/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3">
        <f>H13-G13</f>
        <v/>
      </c>
      <c r="N13" s="3">
        <f>IF(G13=0,"",M13/G13)</f>
        <v/>
      </c>
      <c r="O13" s="3">
        <f>IF(I13=0,"",M13/(I13/60))</f>
        <v/>
      </c>
      <c r="P13" s="3">
        <f>IF(A13="","",SUM($M$2:M13))</f>
        <v/>
      </c>
      <c r="Q13" s="3">
        <f>IF(P13="","",MAX($P$2:P13))</f>
        <v/>
      </c>
      <c r="R13" s="3">
        <f>IF(P13="","",P13-Q13)</f>
        <v/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3">
        <f>H14-G14</f>
        <v/>
      </c>
      <c r="N14" s="3">
        <f>IF(G14=0,"",M14/G14)</f>
        <v/>
      </c>
      <c r="O14" s="3">
        <f>IF(I14=0,"",M14/(I14/60))</f>
        <v/>
      </c>
      <c r="P14" s="3">
        <f>IF(A14="","",SUM($M$2:M14))</f>
        <v/>
      </c>
      <c r="Q14" s="3">
        <f>IF(P14="","",MAX($P$2:P14))</f>
        <v/>
      </c>
      <c r="R14" s="3">
        <f>IF(P14="","",P14-Q14)</f>
        <v/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3">
        <f>H15-G15</f>
        <v/>
      </c>
      <c r="N15" s="3">
        <f>IF(G15=0,"",M15/G15)</f>
        <v/>
      </c>
      <c r="O15" s="3">
        <f>IF(I15=0,"",M15/(I15/60))</f>
        <v/>
      </c>
      <c r="P15" s="3">
        <f>IF(A15="","",SUM($M$2:M15))</f>
        <v/>
      </c>
      <c r="Q15" s="3">
        <f>IF(P15="","",MAX($P$2:P15))</f>
        <v/>
      </c>
      <c r="R15" s="3">
        <f>IF(P15="","",P15-Q15)</f>
        <v/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3">
        <f>H16-G16</f>
        <v/>
      </c>
      <c r="N16" s="3">
        <f>IF(G16=0,"",M16/G16)</f>
        <v/>
      </c>
      <c r="O16" s="3">
        <f>IF(I16=0,"",M16/(I16/60))</f>
        <v/>
      </c>
      <c r="P16" s="3">
        <f>IF(A16="","",SUM($M$2:M16))</f>
        <v/>
      </c>
      <c r="Q16" s="3">
        <f>IF(P16="","",MAX($P$2:P16))</f>
        <v/>
      </c>
      <c r="R16" s="3">
        <f>IF(P16="","",P16-Q16)</f>
        <v/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3">
        <f>H17-G17</f>
        <v/>
      </c>
      <c r="N17" s="3">
        <f>IF(G17=0,"",M17/G17)</f>
        <v/>
      </c>
      <c r="O17" s="3">
        <f>IF(I17=0,"",M17/(I17/60))</f>
        <v/>
      </c>
      <c r="P17" s="3">
        <f>IF(A17="","",SUM($M$2:M17))</f>
        <v/>
      </c>
      <c r="Q17" s="3">
        <f>IF(P17="","",MAX($P$2:P17))</f>
        <v/>
      </c>
      <c r="R17" s="3">
        <f>IF(P17="","",P17-Q17)</f>
        <v/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3">
        <f>H18-G18</f>
        <v/>
      </c>
      <c r="N18" s="3">
        <f>IF(G18=0,"",M18/G18)</f>
        <v/>
      </c>
      <c r="O18" s="3">
        <f>IF(I18=0,"",M18/(I18/60))</f>
        <v/>
      </c>
      <c r="P18" s="3">
        <f>IF(A18="","",SUM($M$2:M18))</f>
        <v/>
      </c>
      <c r="Q18" s="3">
        <f>IF(P18="","",MAX($P$2:P18))</f>
        <v/>
      </c>
      <c r="R18" s="3">
        <f>IF(P18="","",P18-Q18)</f>
        <v/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3">
        <f>H19-G19</f>
        <v/>
      </c>
      <c r="N19" s="3">
        <f>IF(G19=0,"",M19/G19)</f>
        <v/>
      </c>
      <c r="O19" s="3">
        <f>IF(I19=0,"",M19/(I19/60))</f>
        <v/>
      </c>
      <c r="P19" s="3">
        <f>IF(A19="","",SUM($M$2:M19))</f>
        <v/>
      </c>
      <c r="Q19" s="3">
        <f>IF(P19="","",MAX($P$2:P19))</f>
        <v/>
      </c>
      <c r="R19" s="3">
        <f>IF(P19="","",P19-Q19)</f>
        <v/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3">
        <f>H20-G20</f>
        <v/>
      </c>
      <c r="N20" s="3">
        <f>IF(G20=0,"",M20/G20)</f>
        <v/>
      </c>
      <c r="O20" s="3">
        <f>IF(I20=0,"",M20/(I20/60))</f>
        <v/>
      </c>
      <c r="P20" s="3">
        <f>IF(A20="","",SUM($M$2:M20))</f>
        <v/>
      </c>
      <c r="Q20" s="3">
        <f>IF(P20="","",MAX($P$2:P20))</f>
        <v/>
      </c>
      <c r="R20" s="3">
        <f>IF(P20="","",P20-Q20)</f>
        <v/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3">
        <f>H21-G21</f>
        <v/>
      </c>
      <c r="N21" s="3">
        <f>IF(G21=0,"",M21/G21)</f>
        <v/>
      </c>
      <c r="O21" s="3">
        <f>IF(I21=0,"",M21/(I21/60))</f>
        <v/>
      </c>
      <c r="P21" s="3">
        <f>IF(A21="","",SUM($M$2:M21))</f>
        <v/>
      </c>
      <c r="Q21" s="3">
        <f>IF(P21="","",MAX($P$2:P21))</f>
        <v/>
      </c>
      <c r="R21" s="3">
        <f>IF(P21="","",P21-Q21)</f>
        <v/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3">
        <f>H22-G22</f>
        <v/>
      </c>
      <c r="N22" s="3">
        <f>IF(G22=0,"",M22/G22)</f>
        <v/>
      </c>
      <c r="O22" s="3">
        <f>IF(I22=0,"",M22/(I22/60))</f>
        <v/>
      </c>
      <c r="P22" s="3">
        <f>IF(A22="","",SUM($M$2:M22))</f>
        <v/>
      </c>
      <c r="Q22" s="3">
        <f>IF(P22="","",MAX($P$2:P22))</f>
        <v/>
      </c>
      <c r="R22" s="3">
        <f>IF(P22="","",P22-Q22)</f>
        <v/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3">
        <f>H23-G23</f>
        <v/>
      </c>
      <c r="N23" s="3">
        <f>IF(G23=0,"",M23/G23)</f>
        <v/>
      </c>
      <c r="O23" s="3">
        <f>IF(I23=0,"",M23/(I23/60))</f>
        <v/>
      </c>
      <c r="P23" s="3">
        <f>IF(A23="","",SUM($M$2:M23))</f>
        <v/>
      </c>
      <c r="Q23" s="3">
        <f>IF(P23="","",MAX($P$2:P23))</f>
        <v/>
      </c>
      <c r="R23" s="3">
        <f>IF(P23="","",P23-Q23)</f>
        <v/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3">
        <f>H24-G24</f>
        <v/>
      </c>
      <c r="N24" s="3">
        <f>IF(G24=0,"",M24/G24)</f>
        <v/>
      </c>
      <c r="O24" s="3">
        <f>IF(I24=0,"",M24/(I24/60))</f>
        <v/>
      </c>
      <c r="P24" s="3">
        <f>IF(A24="","",SUM($M$2:M24))</f>
        <v/>
      </c>
      <c r="Q24" s="3">
        <f>IF(P24="","",MAX($P$2:P24))</f>
        <v/>
      </c>
      <c r="R24" s="3">
        <f>IF(P24="","",P24-Q24)</f>
        <v/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3">
        <f>H25-G25</f>
        <v/>
      </c>
      <c r="N25" s="3">
        <f>IF(G25=0,"",M25/G25)</f>
        <v/>
      </c>
      <c r="O25" s="3">
        <f>IF(I25=0,"",M25/(I25/60))</f>
        <v/>
      </c>
      <c r="P25" s="3">
        <f>IF(A25="","",SUM($M$2:M25))</f>
        <v/>
      </c>
      <c r="Q25" s="3">
        <f>IF(P25="","",MAX($P$2:P25))</f>
        <v/>
      </c>
      <c r="R25" s="3">
        <f>IF(P25="","",P25-Q25)</f>
        <v/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3">
        <f>H26-G26</f>
        <v/>
      </c>
      <c r="N26" s="3">
        <f>IF(G26=0,"",M26/G26)</f>
        <v/>
      </c>
      <c r="O26" s="3">
        <f>IF(I26=0,"",M26/(I26/60))</f>
        <v/>
      </c>
      <c r="P26" s="3">
        <f>IF(A26="","",SUM($M$2:M26))</f>
        <v/>
      </c>
      <c r="Q26" s="3">
        <f>IF(P26="","",MAX($P$2:P26))</f>
        <v/>
      </c>
      <c r="R26" s="3">
        <f>IF(P26="","",P26-Q26)</f>
        <v/>
      </c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3">
        <f>H27-G27</f>
        <v/>
      </c>
      <c r="N27" s="3">
        <f>IF(G27=0,"",M27/G27)</f>
        <v/>
      </c>
      <c r="O27" s="3">
        <f>IF(I27=0,"",M27/(I27/60))</f>
        <v/>
      </c>
      <c r="P27" s="3">
        <f>IF(A27="","",SUM($M$2:M27))</f>
        <v/>
      </c>
      <c r="Q27" s="3">
        <f>IF(P27="","",MAX($P$2:P27))</f>
        <v/>
      </c>
      <c r="R27" s="3">
        <f>IF(P27="","",P27-Q27)</f>
        <v/>
      </c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3">
        <f>H28-G28</f>
        <v/>
      </c>
      <c r="N28" s="3">
        <f>IF(G28=0,"",M28/G28)</f>
        <v/>
      </c>
      <c r="O28" s="3">
        <f>IF(I28=0,"",M28/(I28/60))</f>
        <v/>
      </c>
      <c r="P28" s="3">
        <f>IF(A28="","",SUM($M$2:M28))</f>
        <v/>
      </c>
      <c r="Q28" s="3">
        <f>IF(P28="","",MAX($P$2:P28))</f>
        <v/>
      </c>
      <c r="R28" s="3">
        <f>IF(P28="","",P28-Q28)</f>
        <v/>
      </c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3">
        <f>H29-G29</f>
        <v/>
      </c>
      <c r="N29" s="3">
        <f>IF(G29=0,"",M29/G29)</f>
        <v/>
      </c>
      <c r="O29" s="3">
        <f>IF(I29=0,"",M29/(I29/60))</f>
        <v/>
      </c>
      <c r="P29" s="3">
        <f>IF(A29="","",SUM($M$2:M29))</f>
        <v/>
      </c>
      <c r="Q29" s="3">
        <f>IF(P29="","",MAX($P$2:P29))</f>
        <v/>
      </c>
      <c r="R29" s="3">
        <f>IF(P29="","",P29-Q29)</f>
        <v/>
      </c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3">
        <f>H30-G30</f>
        <v/>
      </c>
      <c r="N30" s="3">
        <f>IF(G30=0,"",M30/G30)</f>
        <v/>
      </c>
      <c r="O30" s="3">
        <f>IF(I30=0,"",M30/(I30/60))</f>
        <v/>
      </c>
      <c r="P30" s="3">
        <f>IF(A30="","",SUM($M$2:M30))</f>
        <v/>
      </c>
      <c r="Q30" s="3">
        <f>IF(P30="","",MAX($P$2:P30))</f>
        <v/>
      </c>
      <c r="R30" s="3">
        <f>IF(P30="","",P30-Q30)</f>
        <v/>
      </c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3">
        <f>H31-G31</f>
        <v/>
      </c>
      <c r="N31" s="3">
        <f>IF(G31=0,"",M31/G31)</f>
        <v/>
      </c>
      <c r="O31" s="3">
        <f>IF(I31=0,"",M31/(I31/60))</f>
        <v/>
      </c>
      <c r="P31" s="3">
        <f>IF(A31="","",SUM($M$2:M31))</f>
        <v/>
      </c>
      <c r="Q31" s="3">
        <f>IF(P31="","",MAX($P$2:P31))</f>
        <v/>
      </c>
      <c r="R31" s="3">
        <f>IF(P31="","",P31-Q31)</f>
        <v/>
      </c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3">
        <f>H32-G32</f>
        <v/>
      </c>
      <c r="N32" s="3">
        <f>IF(G32=0,"",M32/G32)</f>
        <v/>
      </c>
      <c r="O32" s="3">
        <f>IF(I32=0,"",M32/(I32/60))</f>
        <v/>
      </c>
      <c r="P32" s="3">
        <f>IF(A32="","",SUM($M$2:M32))</f>
        <v/>
      </c>
      <c r="Q32" s="3">
        <f>IF(P32="","",MAX($P$2:P32))</f>
        <v/>
      </c>
      <c r="R32" s="3">
        <f>IF(P32="","",P32-Q32)</f>
        <v/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3">
        <f>H33-G33</f>
        <v/>
      </c>
      <c r="N33" s="3">
        <f>IF(G33=0,"",M33/G33)</f>
        <v/>
      </c>
      <c r="O33" s="3">
        <f>IF(I33=0,"",M33/(I33/60))</f>
        <v/>
      </c>
      <c r="P33" s="3">
        <f>IF(A33="","",SUM($M$2:M33))</f>
        <v/>
      </c>
      <c r="Q33" s="3">
        <f>IF(P33="","",MAX($P$2:P33))</f>
        <v/>
      </c>
      <c r="R33" s="3">
        <f>IF(P33="","",P33-Q33)</f>
        <v/>
      </c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3">
        <f>H34-G34</f>
        <v/>
      </c>
      <c r="N34" s="3">
        <f>IF(G34=0,"",M34/G34)</f>
        <v/>
      </c>
      <c r="O34" s="3">
        <f>IF(I34=0,"",M34/(I34/60))</f>
        <v/>
      </c>
      <c r="P34" s="3">
        <f>IF(A34="","",SUM($M$2:M34))</f>
        <v/>
      </c>
      <c r="Q34" s="3">
        <f>IF(P34="","",MAX($P$2:P34))</f>
        <v/>
      </c>
      <c r="R34" s="3">
        <f>IF(P34="","",P34-Q34)</f>
        <v/>
      </c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3">
        <f>H35-G35</f>
        <v/>
      </c>
      <c r="N35" s="3">
        <f>IF(G35=0,"",M35/G35)</f>
        <v/>
      </c>
      <c r="O35" s="3">
        <f>IF(I35=0,"",M35/(I35/60))</f>
        <v/>
      </c>
      <c r="P35" s="3">
        <f>IF(A35="","",SUM($M$2:M35))</f>
        <v/>
      </c>
      <c r="Q35" s="3">
        <f>IF(P35="","",MAX($P$2:P35))</f>
        <v/>
      </c>
      <c r="R35" s="3">
        <f>IF(P35="","",P35-Q35)</f>
        <v/>
      </c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3">
        <f>H36-G36</f>
        <v/>
      </c>
      <c r="N36" s="3">
        <f>IF(G36=0,"",M36/G36)</f>
        <v/>
      </c>
      <c r="O36" s="3">
        <f>IF(I36=0,"",M36/(I36/60))</f>
        <v/>
      </c>
      <c r="P36" s="3">
        <f>IF(A36="","",SUM($M$2:M36))</f>
        <v/>
      </c>
      <c r="Q36" s="3">
        <f>IF(P36="","",MAX($P$2:P36))</f>
        <v/>
      </c>
      <c r="R36" s="3">
        <f>IF(P36="","",P36-Q36)</f>
        <v/>
      </c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3">
        <f>H37-G37</f>
        <v/>
      </c>
      <c r="N37" s="3">
        <f>IF(G37=0,"",M37/G37)</f>
        <v/>
      </c>
      <c r="O37" s="3">
        <f>IF(I37=0,"",M37/(I37/60))</f>
        <v/>
      </c>
      <c r="P37" s="3">
        <f>IF(A37="","",SUM($M$2:M37))</f>
        <v/>
      </c>
      <c r="Q37" s="3">
        <f>IF(P37="","",MAX($P$2:P37))</f>
        <v/>
      </c>
      <c r="R37" s="3">
        <f>IF(P37="","",P37-Q37)</f>
        <v/>
      </c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3">
        <f>H38-G38</f>
        <v/>
      </c>
      <c r="N38" s="3">
        <f>IF(G38=0,"",M38/G38)</f>
        <v/>
      </c>
      <c r="O38" s="3">
        <f>IF(I38=0,"",M38/(I38/60))</f>
        <v/>
      </c>
      <c r="P38" s="3">
        <f>IF(A38="","",SUM($M$2:M38))</f>
        <v/>
      </c>
      <c r="Q38" s="3">
        <f>IF(P38="","",MAX($P$2:P38))</f>
        <v/>
      </c>
      <c r="R38" s="3">
        <f>IF(P38="","",P38-Q38)</f>
        <v/>
      </c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3">
        <f>H39-G39</f>
        <v/>
      </c>
      <c r="N39" s="3">
        <f>IF(G39=0,"",M39/G39)</f>
        <v/>
      </c>
      <c r="O39" s="3">
        <f>IF(I39=0,"",M39/(I39/60))</f>
        <v/>
      </c>
      <c r="P39" s="3">
        <f>IF(A39="","",SUM($M$2:M39))</f>
        <v/>
      </c>
      <c r="Q39" s="3">
        <f>IF(P39="","",MAX($P$2:P39))</f>
        <v/>
      </c>
      <c r="R39" s="3">
        <f>IF(P39="","",P39-Q39)</f>
        <v/>
      </c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3">
        <f>H40-G40</f>
        <v/>
      </c>
      <c r="N40" s="3">
        <f>IF(G40=0,"",M40/G40)</f>
        <v/>
      </c>
      <c r="O40" s="3">
        <f>IF(I40=0,"",M40/(I40/60))</f>
        <v/>
      </c>
      <c r="P40" s="3">
        <f>IF(A40="","",SUM($M$2:M40))</f>
        <v/>
      </c>
      <c r="Q40" s="3">
        <f>IF(P40="","",MAX($P$2:P40))</f>
        <v/>
      </c>
      <c r="R40" s="3">
        <f>IF(P40="","",P40-Q40)</f>
        <v/>
      </c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3">
        <f>H41-G41</f>
        <v/>
      </c>
      <c r="N41" s="3">
        <f>IF(G41=0,"",M41/G41)</f>
        <v/>
      </c>
      <c r="O41" s="3">
        <f>IF(I41=0,"",M41/(I41/60))</f>
        <v/>
      </c>
      <c r="P41" s="3">
        <f>IF(A41="","",SUM($M$2:M41))</f>
        <v/>
      </c>
      <c r="Q41" s="3">
        <f>IF(P41="","",MAX($P$2:P41))</f>
        <v/>
      </c>
      <c r="R41" s="3">
        <f>IF(P41="","",P41-Q41)</f>
        <v/>
      </c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3">
        <f>H42-G42</f>
        <v/>
      </c>
      <c r="N42" s="3">
        <f>IF(G42=0,"",M42/G42)</f>
        <v/>
      </c>
      <c r="O42" s="3">
        <f>IF(I42=0,"",M42/(I42/60))</f>
        <v/>
      </c>
      <c r="P42" s="3">
        <f>IF(A42="","",SUM($M$2:M42))</f>
        <v/>
      </c>
      <c r="Q42" s="3">
        <f>IF(P42="","",MAX($P$2:P42))</f>
        <v/>
      </c>
      <c r="R42" s="3">
        <f>IF(P42="","",P42-Q42)</f>
        <v/>
      </c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3">
        <f>H43-G43</f>
        <v/>
      </c>
      <c r="N43" s="3">
        <f>IF(G43=0,"",M43/G43)</f>
        <v/>
      </c>
      <c r="O43" s="3">
        <f>IF(I43=0,"",M43/(I43/60))</f>
        <v/>
      </c>
      <c r="P43" s="3">
        <f>IF(A43="","",SUM($M$2:M43))</f>
        <v/>
      </c>
      <c r="Q43" s="3">
        <f>IF(P43="","",MAX($P$2:P43))</f>
        <v/>
      </c>
      <c r="R43" s="3">
        <f>IF(P43="","",P43-Q43)</f>
        <v/>
      </c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3">
        <f>H44-G44</f>
        <v/>
      </c>
      <c r="N44" s="3">
        <f>IF(G44=0,"",M44/G44)</f>
        <v/>
      </c>
      <c r="O44" s="3">
        <f>IF(I44=0,"",M44/(I44/60))</f>
        <v/>
      </c>
      <c r="P44" s="3">
        <f>IF(A44="","",SUM($M$2:M44))</f>
        <v/>
      </c>
      <c r="Q44" s="3">
        <f>IF(P44="","",MAX($P$2:P44))</f>
        <v/>
      </c>
      <c r="R44" s="3">
        <f>IF(P44="","",P44-Q44)</f>
        <v/>
      </c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3">
        <f>H45-G45</f>
        <v/>
      </c>
      <c r="N45" s="3">
        <f>IF(G45=0,"",M45/G45)</f>
        <v/>
      </c>
      <c r="O45" s="3">
        <f>IF(I45=0,"",M45/(I45/60))</f>
        <v/>
      </c>
      <c r="P45" s="3">
        <f>IF(A45="","",SUM($M$2:M45))</f>
        <v/>
      </c>
      <c r="Q45" s="3">
        <f>IF(P45="","",MAX($P$2:P45))</f>
        <v/>
      </c>
      <c r="R45" s="3">
        <f>IF(P45="","",P45-Q45)</f>
        <v/>
      </c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3">
        <f>H46-G46</f>
        <v/>
      </c>
      <c r="N46" s="3">
        <f>IF(G46=0,"",M46/G46)</f>
        <v/>
      </c>
      <c r="O46" s="3">
        <f>IF(I46=0,"",M46/(I46/60))</f>
        <v/>
      </c>
      <c r="P46" s="3">
        <f>IF(A46="","",SUM($M$2:M46))</f>
        <v/>
      </c>
      <c r="Q46" s="3">
        <f>IF(P46="","",MAX($P$2:P46))</f>
        <v/>
      </c>
      <c r="R46" s="3">
        <f>IF(P46="","",P46-Q46)</f>
        <v/>
      </c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3">
        <f>H47-G47</f>
        <v/>
      </c>
      <c r="N47" s="3">
        <f>IF(G47=0,"",M47/G47)</f>
        <v/>
      </c>
      <c r="O47" s="3">
        <f>IF(I47=0,"",M47/(I47/60))</f>
        <v/>
      </c>
      <c r="P47" s="3">
        <f>IF(A47="","",SUM($M$2:M47))</f>
        <v/>
      </c>
      <c r="Q47" s="3">
        <f>IF(P47="","",MAX($P$2:P47))</f>
        <v/>
      </c>
      <c r="R47" s="3">
        <f>IF(P47="","",P47-Q47)</f>
        <v/>
      </c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3">
        <f>H48-G48</f>
        <v/>
      </c>
      <c r="N48" s="3">
        <f>IF(G48=0,"",M48/G48)</f>
        <v/>
      </c>
      <c r="O48" s="3">
        <f>IF(I48=0,"",M48/(I48/60))</f>
        <v/>
      </c>
      <c r="P48" s="3">
        <f>IF(A48="","",SUM($M$2:M48))</f>
        <v/>
      </c>
      <c r="Q48" s="3">
        <f>IF(P48="","",MAX($P$2:P48))</f>
        <v/>
      </c>
      <c r="R48" s="3">
        <f>IF(P48="","",P48-Q48)</f>
        <v/>
      </c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3">
        <f>H49-G49</f>
        <v/>
      </c>
      <c r="N49" s="3">
        <f>IF(G49=0,"",M49/G49)</f>
        <v/>
      </c>
      <c r="O49" s="3">
        <f>IF(I49=0,"",M49/(I49/60))</f>
        <v/>
      </c>
      <c r="P49" s="3">
        <f>IF(A49="","",SUM($M$2:M49))</f>
        <v/>
      </c>
      <c r="Q49" s="3">
        <f>IF(P49="","",MAX($P$2:P49))</f>
        <v/>
      </c>
      <c r="R49" s="3">
        <f>IF(P49="","",P49-Q49)</f>
        <v/>
      </c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3">
        <f>H50-G50</f>
        <v/>
      </c>
      <c r="N50" s="3">
        <f>IF(G50=0,"",M50/G50)</f>
        <v/>
      </c>
      <c r="O50" s="3">
        <f>IF(I50=0,"",M50/(I50/60))</f>
        <v/>
      </c>
      <c r="P50" s="3">
        <f>IF(A50="","",SUM($M$2:M50))</f>
        <v/>
      </c>
      <c r="Q50" s="3">
        <f>IF(P50="","",MAX($P$2:P50))</f>
        <v/>
      </c>
      <c r="R50" s="3">
        <f>IF(P50="","",P50-Q50)</f>
        <v/>
      </c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3">
        <f>H51-G51</f>
        <v/>
      </c>
      <c r="N51" s="3">
        <f>IF(G51=0,"",M51/G51)</f>
        <v/>
      </c>
      <c r="O51" s="3">
        <f>IF(I51=0,"",M51/(I51/60))</f>
        <v/>
      </c>
      <c r="P51" s="3">
        <f>IF(A51="","",SUM($M$2:M51))</f>
        <v/>
      </c>
      <c r="Q51" s="3">
        <f>IF(P51="","",MAX($P$2:P51))</f>
        <v/>
      </c>
      <c r="R51" s="3">
        <f>IF(P51="","",P51-Q51)</f>
        <v/>
      </c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3">
        <f>H52-G52</f>
        <v/>
      </c>
      <c r="N52" s="3">
        <f>IF(G52=0,"",M52/G52)</f>
        <v/>
      </c>
      <c r="O52" s="3">
        <f>IF(I52=0,"",M52/(I52/60))</f>
        <v/>
      </c>
      <c r="P52" s="3">
        <f>IF(A52="","",SUM($M$2:M52))</f>
        <v/>
      </c>
      <c r="Q52" s="3">
        <f>IF(P52="","",MAX($P$2:P52))</f>
        <v/>
      </c>
      <c r="R52" s="3">
        <f>IF(P52="","",P52-Q52)</f>
        <v/>
      </c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3">
        <f>H53-G53</f>
        <v/>
      </c>
      <c r="N53" s="3">
        <f>IF(G53=0,"",M53/G53)</f>
        <v/>
      </c>
      <c r="O53" s="3">
        <f>IF(I53=0,"",M53/(I53/60))</f>
        <v/>
      </c>
      <c r="P53" s="3">
        <f>IF(A53="","",SUM($M$2:M53))</f>
        <v/>
      </c>
      <c r="Q53" s="3">
        <f>IF(P53="","",MAX($P$2:P53))</f>
        <v/>
      </c>
      <c r="R53" s="3">
        <f>IF(P53="","",P53-Q53)</f>
        <v/>
      </c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3">
        <f>H54-G54</f>
        <v/>
      </c>
      <c r="N54" s="3">
        <f>IF(G54=0,"",M54/G54)</f>
        <v/>
      </c>
      <c r="O54" s="3">
        <f>IF(I54=0,"",M54/(I54/60))</f>
        <v/>
      </c>
      <c r="P54" s="3">
        <f>IF(A54="","",SUM($M$2:M54))</f>
        <v/>
      </c>
      <c r="Q54" s="3">
        <f>IF(P54="","",MAX($P$2:P54))</f>
        <v/>
      </c>
      <c r="R54" s="3">
        <f>IF(P54="","",P54-Q54)</f>
        <v/>
      </c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3">
        <f>H55-G55</f>
        <v/>
      </c>
      <c r="N55" s="3">
        <f>IF(G55=0,"",M55/G55)</f>
        <v/>
      </c>
      <c r="O55" s="3">
        <f>IF(I55=0,"",M55/(I55/60))</f>
        <v/>
      </c>
      <c r="P55" s="3">
        <f>IF(A55="","",SUM($M$2:M55))</f>
        <v/>
      </c>
      <c r="Q55" s="3">
        <f>IF(P55="","",MAX($P$2:P55))</f>
        <v/>
      </c>
      <c r="R55" s="3">
        <f>IF(P55="","",P55-Q55)</f>
        <v/>
      </c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3">
        <f>H56-G56</f>
        <v/>
      </c>
      <c r="N56" s="3">
        <f>IF(G56=0,"",M56/G56)</f>
        <v/>
      </c>
      <c r="O56" s="3">
        <f>IF(I56=0,"",M56/(I56/60))</f>
        <v/>
      </c>
      <c r="P56" s="3">
        <f>IF(A56="","",SUM($M$2:M56))</f>
        <v/>
      </c>
      <c r="Q56" s="3">
        <f>IF(P56="","",MAX($P$2:P56))</f>
        <v/>
      </c>
      <c r="R56" s="3">
        <f>IF(P56="","",P56-Q56)</f>
        <v/>
      </c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3">
        <f>H57-G57</f>
        <v/>
      </c>
      <c r="N57" s="3">
        <f>IF(G57=0,"",M57/G57)</f>
        <v/>
      </c>
      <c r="O57" s="3">
        <f>IF(I57=0,"",M57/(I57/60))</f>
        <v/>
      </c>
      <c r="P57" s="3">
        <f>IF(A57="","",SUM($M$2:M57))</f>
        <v/>
      </c>
      <c r="Q57" s="3">
        <f>IF(P57="","",MAX($P$2:P57))</f>
        <v/>
      </c>
      <c r="R57" s="3">
        <f>IF(P57="","",P57-Q57)</f>
        <v/>
      </c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3">
        <f>H58-G58</f>
        <v/>
      </c>
      <c r="N58" s="3">
        <f>IF(G58=0,"",M58/G58)</f>
        <v/>
      </c>
      <c r="O58" s="3">
        <f>IF(I58=0,"",M58/(I58/60))</f>
        <v/>
      </c>
      <c r="P58" s="3">
        <f>IF(A58="","",SUM($M$2:M58))</f>
        <v/>
      </c>
      <c r="Q58" s="3">
        <f>IF(P58="","",MAX($P$2:P58))</f>
        <v/>
      </c>
      <c r="R58" s="3">
        <f>IF(P58="","",P58-Q58)</f>
        <v/>
      </c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3">
        <f>H59-G59</f>
        <v/>
      </c>
      <c r="N59" s="3">
        <f>IF(G59=0,"",M59/G59)</f>
        <v/>
      </c>
      <c r="O59" s="3">
        <f>IF(I59=0,"",M59/(I59/60))</f>
        <v/>
      </c>
      <c r="P59" s="3">
        <f>IF(A59="","",SUM($M$2:M59))</f>
        <v/>
      </c>
      <c r="Q59" s="3">
        <f>IF(P59="","",MAX($P$2:P59))</f>
        <v/>
      </c>
      <c r="R59" s="3">
        <f>IF(P59="","",P59-Q59)</f>
        <v/>
      </c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3">
        <f>H60-G60</f>
        <v/>
      </c>
      <c r="N60" s="3">
        <f>IF(G60=0,"",M60/G60)</f>
        <v/>
      </c>
      <c r="O60" s="3">
        <f>IF(I60=0,"",M60/(I60/60))</f>
        <v/>
      </c>
      <c r="P60" s="3">
        <f>IF(A60="","",SUM($M$2:M60))</f>
        <v/>
      </c>
      <c r="Q60" s="3">
        <f>IF(P60="","",MAX($P$2:P60))</f>
        <v/>
      </c>
      <c r="R60" s="3">
        <f>IF(P60="","",P60-Q60)</f>
        <v/>
      </c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3">
        <f>H61-G61</f>
        <v/>
      </c>
      <c r="N61" s="3">
        <f>IF(G61=0,"",M61/G61)</f>
        <v/>
      </c>
      <c r="O61" s="3">
        <f>IF(I61=0,"",M61/(I61/60))</f>
        <v/>
      </c>
      <c r="P61" s="3">
        <f>IF(A61="","",SUM($M$2:M61))</f>
        <v/>
      </c>
      <c r="Q61" s="3">
        <f>IF(P61="","",MAX($P$2:P61))</f>
        <v/>
      </c>
      <c r="R61" s="3">
        <f>IF(P61="","",P61-Q61)</f>
        <v/>
      </c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3">
        <f>H62-G62</f>
        <v/>
      </c>
      <c r="N62" s="3">
        <f>IF(G62=0,"",M62/G62)</f>
        <v/>
      </c>
      <c r="O62" s="3">
        <f>IF(I62=0,"",M62/(I62/60))</f>
        <v/>
      </c>
      <c r="P62" s="3">
        <f>IF(A62="","",SUM($M$2:M62))</f>
        <v/>
      </c>
      <c r="Q62" s="3">
        <f>IF(P62="","",MAX($P$2:P62))</f>
        <v/>
      </c>
      <c r="R62" s="3">
        <f>IF(P62="","",P62-Q62)</f>
        <v/>
      </c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3">
        <f>H63-G63</f>
        <v/>
      </c>
      <c r="N63" s="3">
        <f>IF(G63=0,"",M63/G63)</f>
        <v/>
      </c>
      <c r="O63" s="3">
        <f>IF(I63=0,"",M63/(I63/60))</f>
        <v/>
      </c>
      <c r="P63" s="3">
        <f>IF(A63="","",SUM($M$2:M63))</f>
        <v/>
      </c>
      <c r="Q63" s="3">
        <f>IF(P63="","",MAX($P$2:P63))</f>
        <v/>
      </c>
      <c r="R63" s="3">
        <f>IF(P63="","",P63-Q63)</f>
        <v/>
      </c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3">
        <f>H64-G64</f>
        <v/>
      </c>
      <c r="N64" s="3">
        <f>IF(G64=0,"",M64/G64)</f>
        <v/>
      </c>
      <c r="O64" s="3">
        <f>IF(I64=0,"",M64/(I64/60))</f>
        <v/>
      </c>
      <c r="P64" s="3">
        <f>IF(A64="","",SUM($M$2:M64))</f>
        <v/>
      </c>
      <c r="Q64" s="3">
        <f>IF(P64="","",MAX($P$2:P64))</f>
        <v/>
      </c>
      <c r="R64" s="3">
        <f>IF(P64="","",P64-Q64)</f>
        <v/>
      </c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3">
        <f>H65-G65</f>
        <v/>
      </c>
      <c r="N65" s="3">
        <f>IF(G65=0,"",M65/G65)</f>
        <v/>
      </c>
      <c r="O65" s="3">
        <f>IF(I65=0,"",M65/(I65/60))</f>
        <v/>
      </c>
      <c r="P65" s="3">
        <f>IF(A65="","",SUM($M$2:M65))</f>
        <v/>
      </c>
      <c r="Q65" s="3">
        <f>IF(P65="","",MAX($P$2:P65))</f>
        <v/>
      </c>
      <c r="R65" s="3">
        <f>IF(P65="","",P65-Q65)</f>
        <v/>
      </c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3">
        <f>H66-G66</f>
        <v/>
      </c>
      <c r="N66" s="3">
        <f>IF(G66=0,"",M66/G66)</f>
        <v/>
      </c>
      <c r="O66" s="3">
        <f>IF(I66=0,"",M66/(I66/60))</f>
        <v/>
      </c>
      <c r="P66" s="3">
        <f>IF(A66="","",SUM($M$2:M66))</f>
        <v/>
      </c>
      <c r="Q66" s="3">
        <f>IF(P66="","",MAX($P$2:P66))</f>
        <v/>
      </c>
      <c r="R66" s="3">
        <f>IF(P66="","",P66-Q66)</f>
        <v/>
      </c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3">
        <f>H67-G67</f>
        <v/>
      </c>
      <c r="N67" s="3">
        <f>IF(G67=0,"",M67/G67)</f>
        <v/>
      </c>
      <c r="O67" s="3">
        <f>IF(I67=0,"",M67/(I67/60))</f>
        <v/>
      </c>
      <c r="P67" s="3">
        <f>IF(A67="","",SUM($M$2:M67))</f>
        <v/>
      </c>
      <c r="Q67" s="3">
        <f>IF(P67="","",MAX($P$2:P67))</f>
        <v/>
      </c>
      <c r="R67" s="3">
        <f>IF(P67="","",P67-Q67)</f>
        <v/>
      </c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3">
        <f>H68-G68</f>
        <v/>
      </c>
      <c r="N68" s="3">
        <f>IF(G68=0,"",M68/G68)</f>
        <v/>
      </c>
      <c r="O68" s="3">
        <f>IF(I68=0,"",M68/(I68/60))</f>
        <v/>
      </c>
      <c r="P68" s="3">
        <f>IF(A68="","",SUM($M$2:M68))</f>
        <v/>
      </c>
      <c r="Q68" s="3">
        <f>IF(P68="","",MAX($P$2:P68))</f>
        <v/>
      </c>
      <c r="R68" s="3">
        <f>IF(P68="","",P68-Q68)</f>
        <v/>
      </c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3">
        <f>H69-G69</f>
        <v/>
      </c>
      <c r="N69" s="3">
        <f>IF(G69=0,"",M69/G69)</f>
        <v/>
      </c>
      <c r="O69" s="3">
        <f>IF(I69=0,"",M69/(I69/60))</f>
        <v/>
      </c>
      <c r="P69" s="3">
        <f>IF(A69="","",SUM($M$2:M69))</f>
        <v/>
      </c>
      <c r="Q69" s="3">
        <f>IF(P69="","",MAX($P$2:P69))</f>
        <v/>
      </c>
      <c r="R69" s="3">
        <f>IF(P69="","",P69-Q69)</f>
        <v/>
      </c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3">
        <f>H70-G70</f>
        <v/>
      </c>
      <c r="N70" s="3">
        <f>IF(G70=0,"",M70/G70)</f>
        <v/>
      </c>
      <c r="O70" s="3">
        <f>IF(I70=0,"",M70/(I70/60))</f>
        <v/>
      </c>
      <c r="P70" s="3">
        <f>IF(A70="","",SUM($M$2:M70))</f>
        <v/>
      </c>
      <c r="Q70" s="3">
        <f>IF(P70="","",MAX($P$2:P70))</f>
        <v/>
      </c>
      <c r="R70" s="3">
        <f>IF(P70="","",P70-Q70)</f>
        <v/>
      </c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3">
        <f>H71-G71</f>
        <v/>
      </c>
      <c r="N71" s="3">
        <f>IF(G71=0,"",M71/G71)</f>
        <v/>
      </c>
      <c r="O71" s="3">
        <f>IF(I71=0,"",M71/(I71/60))</f>
        <v/>
      </c>
      <c r="P71" s="3">
        <f>IF(A71="","",SUM($M$2:M71))</f>
        <v/>
      </c>
      <c r="Q71" s="3">
        <f>IF(P71="","",MAX($P$2:P71))</f>
        <v/>
      </c>
      <c r="R71" s="3">
        <f>IF(P71="","",P71-Q71)</f>
        <v/>
      </c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3">
        <f>H72-G72</f>
        <v/>
      </c>
      <c r="N72" s="3">
        <f>IF(G72=0,"",M72/G72)</f>
        <v/>
      </c>
      <c r="O72" s="3">
        <f>IF(I72=0,"",M72/(I72/60))</f>
        <v/>
      </c>
      <c r="P72" s="3">
        <f>IF(A72="","",SUM($M$2:M72))</f>
        <v/>
      </c>
      <c r="Q72" s="3">
        <f>IF(P72="","",MAX($P$2:P72))</f>
        <v/>
      </c>
      <c r="R72" s="3">
        <f>IF(P72="","",P72-Q72)</f>
        <v/>
      </c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3">
        <f>H73-G73</f>
        <v/>
      </c>
      <c r="N73" s="3">
        <f>IF(G73=0,"",M73/G73)</f>
        <v/>
      </c>
      <c r="O73" s="3">
        <f>IF(I73=0,"",M73/(I73/60))</f>
        <v/>
      </c>
      <c r="P73" s="3">
        <f>IF(A73="","",SUM($M$2:M73))</f>
        <v/>
      </c>
      <c r="Q73" s="3">
        <f>IF(P73="","",MAX($P$2:P73))</f>
        <v/>
      </c>
      <c r="R73" s="3">
        <f>IF(P73="","",P73-Q73)</f>
        <v/>
      </c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3">
        <f>H74-G74</f>
        <v/>
      </c>
      <c r="N74" s="3">
        <f>IF(G74=0,"",M74/G74)</f>
        <v/>
      </c>
      <c r="O74" s="3">
        <f>IF(I74=0,"",M74/(I74/60))</f>
        <v/>
      </c>
      <c r="P74" s="3">
        <f>IF(A74="","",SUM($M$2:M74))</f>
        <v/>
      </c>
      <c r="Q74" s="3">
        <f>IF(P74="","",MAX($P$2:P74))</f>
        <v/>
      </c>
      <c r="R74" s="3">
        <f>IF(P74="","",P74-Q74)</f>
        <v/>
      </c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3">
        <f>H75-G75</f>
        <v/>
      </c>
      <c r="N75" s="3">
        <f>IF(G75=0,"",M75/G75)</f>
        <v/>
      </c>
      <c r="O75" s="3">
        <f>IF(I75=0,"",M75/(I75/60))</f>
        <v/>
      </c>
      <c r="P75" s="3">
        <f>IF(A75="","",SUM($M$2:M75))</f>
        <v/>
      </c>
      <c r="Q75" s="3">
        <f>IF(P75="","",MAX($P$2:P75))</f>
        <v/>
      </c>
      <c r="R75" s="3">
        <f>IF(P75="","",P75-Q75)</f>
        <v/>
      </c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3">
        <f>H76-G76</f>
        <v/>
      </c>
      <c r="N76" s="3">
        <f>IF(G76=0,"",M76/G76)</f>
        <v/>
      </c>
      <c r="O76" s="3">
        <f>IF(I76=0,"",M76/(I76/60))</f>
        <v/>
      </c>
      <c r="P76" s="3">
        <f>IF(A76="","",SUM($M$2:M76))</f>
        <v/>
      </c>
      <c r="Q76" s="3">
        <f>IF(P76="","",MAX($P$2:P76))</f>
        <v/>
      </c>
      <c r="R76" s="3">
        <f>IF(P76="","",P76-Q76)</f>
        <v/>
      </c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3">
        <f>H77-G77</f>
        <v/>
      </c>
      <c r="N77" s="3">
        <f>IF(G77=0,"",M77/G77)</f>
        <v/>
      </c>
      <c r="O77" s="3">
        <f>IF(I77=0,"",M77/(I77/60))</f>
        <v/>
      </c>
      <c r="P77" s="3">
        <f>IF(A77="","",SUM($M$2:M77))</f>
        <v/>
      </c>
      <c r="Q77" s="3">
        <f>IF(P77="","",MAX($P$2:P77))</f>
        <v/>
      </c>
      <c r="R77" s="3">
        <f>IF(P77="","",P77-Q77)</f>
        <v/>
      </c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3">
        <f>H78-G78</f>
        <v/>
      </c>
      <c r="N78" s="3">
        <f>IF(G78=0,"",M78/G78)</f>
        <v/>
      </c>
      <c r="O78" s="3">
        <f>IF(I78=0,"",M78/(I78/60))</f>
        <v/>
      </c>
      <c r="P78" s="3">
        <f>IF(A78="","",SUM($M$2:M78))</f>
        <v/>
      </c>
      <c r="Q78" s="3">
        <f>IF(P78="","",MAX($P$2:P78))</f>
        <v/>
      </c>
      <c r="R78" s="3">
        <f>IF(P78="","",P78-Q78)</f>
        <v/>
      </c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3">
        <f>H79-G79</f>
        <v/>
      </c>
      <c r="N79" s="3">
        <f>IF(G79=0,"",M79/G79)</f>
        <v/>
      </c>
      <c r="O79" s="3">
        <f>IF(I79=0,"",M79/(I79/60))</f>
        <v/>
      </c>
      <c r="P79" s="3">
        <f>IF(A79="","",SUM($M$2:M79))</f>
        <v/>
      </c>
      <c r="Q79" s="3">
        <f>IF(P79="","",MAX($P$2:P79))</f>
        <v/>
      </c>
      <c r="R79" s="3">
        <f>IF(P79="","",P79-Q79)</f>
        <v/>
      </c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3">
        <f>H80-G80</f>
        <v/>
      </c>
      <c r="N80" s="3">
        <f>IF(G80=0,"",M80/G80)</f>
        <v/>
      </c>
      <c r="O80" s="3">
        <f>IF(I80=0,"",M80/(I80/60))</f>
        <v/>
      </c>
      <c r="P80" s="3">
        <f>IF(A80="","",SUM($M$2:M80))</f>
        <v/>
      </c>
      <c r="Q80" s="3">
        <f>IF(P80="","",MAX($P$2:P80))</f>
        <v/>
      </c>
      <c r="R80" s="3">
        <f>IF(P80="","",P80-Q80)</f>
        <v/>
      </c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3">
        <f>H81-G81</f>
        <v/>
      </c>
      <c r="N81" s="3">
        <f>IF(G81=0,"",M81/G81)</f>
        <v/>
      </c>
      <c r="O81" s="3">
        <f>IF(I81=0,"",M81/(I81/60))</f>
        <v/>
      </c>
      <c r="P81" s="3">
        <f>IF(A81="","",SUM($M$2:M81))</f>
        <v/>
      </c>
      <c r="Q81" s="3">
        <f>IF(P81="","",MAX($P$2:P81))</f>
        <v/>
      </c>
      <c r="R81" s="3">
        <f>IF(P81="","",P81-Q81)</f>
        <v/>
      </c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3">
        <f>H82-G82</f>
        <v/>
      </c>
      <c r="N82" s="3">
        <f>IF(G82=0,"",M82/G82)</f>
        <v/>
      </c>
      <c r="O82" s="3">
        <f>IF(I82=0,"",M82/(I82/60))</f>
        <v/>
      </c>
      <c r="P82" s="3">
        <f>IF(A82="","",SUM($M$2:M82))</f>
        <v/>
      </c>
      <c r="Q82" s="3">
        <f>IF(P82="","",MAX($P$2:P82))</f>
        <v/>
      </c>
      <c r="R82" s="3">
        <f>IF(P82="","",P82-Q82)</f>
        <v/>
      </c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3">
        <f>H83-G83</f>
        <v/>
      </c>
      <c r="N83" s="3">
        <f>IF(G83=0,"",M83/G83)</f>
        <v/>
      </c>
      <c r="O83" s="3">
        <f>IF(I83=0,"",M83/(I83/60))</f>
        <v/>
      </c>
      <c r="P83" s="3">
        <f>IF(A83="","",SUM($M$2:M83))</f>
        <v/>
      </c>
      <c r="Q83" s="3">
        <f>IF(P83="","",MAX($P$2:P83))</f>
        <v/>
      </c>
      <c r="R83" s="3">
        <f>IF(P83="","",P83-Q83)</f>
        <v/>
      </c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3">
        <f>H84-G84</f>
        <v/>
      </c>
      <c r="N84" s="3">
        <f>IF(G84=0,"",M84/G84)</f>
        <v/>
      </c>
      <c r="O84" s="3">
        <f>IF(I84=0,"",M84/(I84/60))</f>
        <v/>
      </c>
      <c r="P84" s="3">
        <f>IF(A84="","",SUM($M$2:M84))</f>
        <v/>
      </c>
      <c r="Q84" s="3">
        <f>IF(P84="","",MAX($P$2:P84))</f>
        <v/>
      </c>
      <c r="R84" s="3">
        <f>IF(P84="","",P84-Q84)</f>
        <v/>
      </c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3">
        <f>H85-G85</f>
        <v/>
      </c>
      <c r="N85" s="3">
        <f>IF(G85=0,"",M85/G85)</f>
        <v/>
      </c>
      <c r="O85" s="3">
        <f>IF(I85=0,"",M85/(I85/60))</f>
        <v/>
      </c>
      <c r="P85" s="3">
        <f>IF(A85="","",SUM($M$2:M85))</f>
        <v/>
      </c>
      <c r="Q85" s="3">
        <f>IF(P85="","",MAX($P$2:P85))</f>
        <v/>
      </c>
      <c r="R85" s="3">
        <f>IF(P85="","",P85-Q85)</f>
        <v/>
      </c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3">
        <f>H86-G86</f>
        <v/>
      </c>
      <c r="N86" s="3">
        <f>IF(G86=0,"",M86/G86)</f>
        <v/>
      </c>
      <c r="O86" s="3">
        <f>IF(I86=0,"",M86/(I86/60))</f>
        <v/>
      </c>
      <c r="P86" s="3">
        <f>IF(A86="","",SUM($M$2:M86))</f>
        <v/>
      </c>
      <c r="Q86" s="3">
        <f>IF(P86="","",MAX($P$2:P86))</f>
        <v/>
      </c>
      <c r="R86" s="3">
        <f>IF(P86="","",P86-Q86)</f>
        <v/>
      </c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3">
        <f>H87-G87</f>
        <v/>
      </c>
      <c r="N87" s="3">
        <f>IF(G87=0,"",M87/G87)</f>
        <v/>
      </c>
      <c r="O87" s="3">
        <f>IF(I87=0,"",M87/(I87/60))</f>
        <v/>
      </c>
      <c r="P87" s="3">
        <f>IF(A87="","",SUM($M$2:M87))</f>
        <v/>
      </c>
      <c r="Q87" s="3">
        <f>IF(P87="","",MAX($P$2:P87))</f>
        <v/>
      </c>
      <c r="R87" s="3">
        <f>IF(P87="","",P87-Q87)</f>
        <v/>
      </c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3">
        <f>H88-G88</f>
        <v/>
      </c>
      <c r="N88" s="3">
        <f>IF(G88=0,"",M88/G88)</f>
        <v/>
      </c>
      <c r="O88" s="3">
        <f>IF(I88=0,"",M88/(I88/60))</f>
        <v/>
      </c>
      <c r="P88" s="3">
        <f>IF(A88="","",SUM($M$2:M88))</f>
        <v/>
      </c>
      <c r="Q88" s="3">
        <f>IF(P88="","",MAX($P$2:P88))</f>
        <v/>
      </c>
      <c r="R88" s="3">
        <f>IF(P88="","",P88-Q88)</f>
        <v/>
      </c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3">
        <f>H89-G89</f>
        <v/>
      </c>
      <c r="N89" s="3">
        <f>IF(G89=0,"",M89/G89)</f>
        <v/>
      </c>
      <c r="O89" s="3">
        <f>IF(I89=0,"",M89/(I89/60))</f>
        <v/>
      </c>
      <c r="P89" s="3">
        <f>IF(A89="","",SUM($M$2:M89))</f>
        <v/>
      </c>
      <c r="Q89" s="3">
        <f>IF(P89="","",MAX($P$2:P89))</f>
        <v/>
      </c>
      <c r="R89" s="3">
        <f>IF(P89="","",P89-Q89)</f>
        <v/>
      </c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3">
        <f>H90-G90</f>
        <v/>
      </c>
      <c r="N90" s="3">
        <f>IF(G90=0,"",M90/G90)</f>
        <v/>
      </c>
      <c r="O90" s="3">
        <f>IF(I90=0,"",M90/(I90/60))</f>
        <v/>
      </c>
      <c r="P90" s="3">
        <f>IF(A90="","",SUM($M$2:M90))</f>
        <v/>
      </c>
      <c r="Q90" s="3">
        <f>IF(P90="","",MAX($P$2:P90))</f>
        <v/>
      </c>
      <c r="R90" s="3">
        <f>IF(P90="","",P90-Q90)</f>
        <v/>
      </c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3">
        <f>H91-G91</f>
        <v/>
      </c>
      <c r="N91" s="3">
        <f>IF(G91=0,"",M91/G91)</f>
        <v/>
      </c>
      <c r="O91" s="3">
        <f>IF(I91=0,"",M91/(I91/60))</f>
        <v/>
      </c>
      <c r="P91" s="3">
        <f>IF(A91="","",SUM($M$2:M91))</f>
        <v/>
      </c>
      <c r="Q91" s="3">
        <f>IF(P91="","",MAX($P$2:P91))</f>
        <v/>
      </c>
      <c r="R91" s="3">
        <f>IF(P91="","",P91-Q91)</f>
        <v/>
      </c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3">
        <f>H92-G92</f>
        <v/>
      </c>
      <c r="N92" s="3">
        <f>IF(G92=0,"",M92/G92)</f>
        <v/>
      </c>
      <c r="O92" s="3">
        <f>IF(I92=0,"",M92/(I92/60))</f>
        <v/>
      </c>
      <c r="P92" s="3">
        <f>IF(A92="","",SUM($M$2:M92))</f>
        <v/>
      </c>
      <c r="Q92" s="3">
        <f>IF(P92="","",MAX($P$2:P92))</f>
        <v/>
      </c>
      <c r="R92" s="3">
        <f>IF(P92="","",P92-Q92)</f>
        <v/>
      </c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3">
        <f>H93-G93</f>
        <v/>
      </c>
      <c r="N93" s="3">
        <f>IF(G93=0,"",M93/G93)</f>
        <v/>
      </c>
      <c r="O93" s="3">
        <f>IF(I93=0,"",M93/(I93/60))</f>
        <v/>
      </c>
      <c r="P93" s="3">
        <f>IF(A93="","",SUM($M$2:M93))</f>
        <v/>
      </c>
      <c r="Q93" s="3">
        <f>IF(P93="","",MAX($P$2:P93))</f>
        <v/>
      </c>
      <c r="R93" s="3">
        <f>IF(P93="","",P93-Q93)</f>
        <v/>
      </c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3">
        <f>H94-G94</f>
        <v/>
      </c>
      <c r="N94" s="3">
        <f>IF(G94=0,"",M94/G94)</f>
        <v/>
      </c>
      <c r="O94" s="3">
        <f>IF(I94=0,"",M94/(I94/60))</f>
        <v/>
      </c>
      <c r="P94" s="3">
        <f>IF(A94="","",SUM($M$2:M94))</f>
        <v/>
      </c>
      <c r="Q94" s="3">
        <f>IF(P94="","",MAX($P$2:P94))</f>
        <v/>
      </c>
      <c r="R94" s="3">
        <f>IF(P94="","",P94-Q94)</f>
        <v/>
      </c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3">
        <f>H95-G95</f>
        <v/>
      </c>
      <c r="N95" s="3">
        <f>IF(G95=0,"",M95/G95)</f>
        <v/>
      </c>
      <c r="O95" s="3">
        <f>IF(I95=0,"",M95/(I95/60))</f>
        <v/>
      </c>
      <c r="P95" s="3">
        <f>IF(A95="","",SUM($M$2:M95))</f>
        <v/>
      </c>
      <c r="Q95" s="3">
        <f>IF(P95="","",MAX($P$2:P95))</f>
        <v/>
      </c>
      <c r="R95" s="3">
        <f>IF(P95="","",P95-Q95)</f>
        <v/>
      </c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3">
        <f>H96-G96</f>
        <v/>
      </c>
      <c r="N96" s="3">
        <f>IF(G96=0,"",M96/G96)</f>
        <v/>
      </c>
      <c r="O96" s="3">
        <f>IF(I96=0,"",M96/(I96/60))</f>
        <v/>
      </c>
      <c r="P96" s="3">
        <f>IF(A96="","",SUM($M$2:M96))</f>
        <v/>
      </c>
      <c r="Q96" s="3">
        <f>IF(P96="","",MAX($P$2:P96))</f>
        <v/>
      </c>
      <c r="R96" s="3">
        <f>IF(P96="","",P96-Q96)</f>
        <v/>
      </c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3">
        <f>H97-G97</f>
        <v/>
      </c>
      <c r="N97" s="3">
        <f>IF(G97=0,"",M97/G97)</f>
        <v/>
      </c>
      <c r="O97" s="3">
        <f>IF(I97=0,"",M97/(I97/60))</f>
        <v/>
      </c>
      <c r="P97" s="3">
        <f>IF(A97="","",SUM($M$2:M97))</f>
        <v/>
      </c>
      <c r="Q97" s="3">
        <f>IF(P97="","",MAX($P$2:P97))</f>
        <v/>
      </c>
      <c r="R97" s="3">
        <f>IF(P97="","",P97-Q97)</f>
        <v/>
      </c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3">
        <f>H98-G98</f>
        <v/>
      </c>
      <c r="N98" s="3">
        <f>IF(G98=0,"",M98/G98)</f>
        <v/>
      </c>
      <c r="O98" s="3">
        <f>IF(I98=0,"",M98/(I98/60))</f>
        <v/>
      </c>
      <c r="P98" s="3">
        <f>IF(A98="","",SUM($M$2:M98))</f>
        <v/>
      </c>
      <c r="Q98" s="3">
        <f>IF(P98="","",MAX($P$2:P98))</f>
        <v/>
      </c>
      <c r="R98" s="3">
        <f>IF(P98="","",P98-Q98)</f>
        <v/>
      </c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3">
        <f>H99-G99</f>
        <v/>
      </c>
      <c r="N99" s="3">
        <f>IF(G99=0,"",M99/G99)</f>
        <v/>
      </c>
      <c r="O99" s="3">
        <f>IF(I99=0,"",M99/(I99/60))</f>
        <v/>
      </c>
      <c r="P99" s="3">
        <f>IF(A99="","",SUM($M$2:M99))</f>
        <v/>
      </c>
      <c r="Q99" s="3">
        <f>IF(P99="","",MAX($P$2:P99))</f>
        <v/>
      </c>
      <c r="R99" s="3">
        <f>IF(P99="","",P99-Q99)</f>
        <v/>
      </c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3">
        <f>H100-G100</f>
        <v/>
      </c>
      <c r="N100" s="3">
        <f>IF(G100=0,"",M100/G100)</f>
        <v/>
      </c>
      <c r="O100" s="3">
        <f>IF(I100=0,"",M100/(I100/60))</f>
        <v/>
      </c>
      <c r="P100" s="3">
        <f>IF(A100="","",SUM($M$2:M100))</f>
        <v/>
      </c>
      <c r="Q100" s="3">
        <f>IF(P100="","",MAX($P$2:P100))</f>
        <v/>
      </c>
      <c r="R100" s="3">
        <f>IF(P100="","",P100-Q100)</f>
        <v/>
      </c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3">
        <f>H101-G101</f>
        <v/>
      </c>
      <c r="N101" s="3">
        <f>IF(G101=0,"",M101/G101)</f>
        <v/>
      </c>
      <c r="O101" s="3">
        <f>IF(I101=0,"",M101/(I101/60))</f>
        <v/>
      </c>
      <c r="P101" s="3">
        <f>IF(A101="","",SUM($M$2:M101))</f>
        <v/>
      </c>
      <c r="Q101" s="3">
        <f>IF(P101="","",MAX($P$2:P101))</f>
        <v/>
      </c>
      <c r="R101" s="3">
        <f>IF(P101="","",P101-Q101)</f>
        <v/>
      </c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3">
        <f>H102-G102</f>
        <v/>
      </c>
      <c r="N102" s="3">
        <f>IF(G102=0,"",M102/G102)</f>
        <v/>
      </c>
      <c r="O102" s="3">
        <f>IF(I102=0,"",M102/(I102/60))</f>
        <v/>
      </c>
      <c r="P102" s="3">
        <f>IF(A102="","",SUM($M$2:M102))</f>
        <v/>
      </c>
      <c r="Q102" s="3">
        <f>IF(P102="","",MAX($P$2:P102))</f>
        <v/>
      </c>
      <c r="R102" s="3">
        <f>IF(P102="","",P102-Q102)</f>
        <v/>
      </c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3">
        <f>H103-G103</f>
        <v/>
      </c>
      <c r="N103" s="3">
        <f>IF(G103=0,"",M103/G103)</f>
        <v/>
      </c>
      <c r="O103" s="3">
        <f>IF(I103=0,"",M103/(I103/60))</f>
        <v/>
      </c>
      <c r="P103" s="3">
        <f>IF(A103="","",SUM($M$2:M103))</f>
        <v/>
      </c>
      <c r="Q103" s="3">
        <f>IF(P103="","",MAX($P$2:P103))</f>
        <v/>
      </c>
      <c r="R103" s="3">
        <f>IF(P103="","",P103-Q103)</f>
        <v/>
      </c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3">
        <f>H104-G104</f>
        <v/>
      </c>
      <c r="N104" s="3">
        <f>IF(G104=0,"",M104/G104)</f>
        <v/>
      </c>
      <c r="O104" s="3">
        <f>IF(I104=0,"",M104/(I104/60))</f>
        <v/>
      </c>
      <c r="P104" s="3">
        <f>IF(A104="","",SUM($M$2:M104))</f>
        <v/>
      </c>
      <c r="Q104" s="3">
        <f>IF(P104="","",MAX($P$2:P104))</f>
        <v/>
      </c>
      <c r="R104" s="3">
        <f>IF(P104="","",P104-Q104)</f>
        <v/>
      </c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3">
        <f>H105-G105</f>
        <v/>
      </c>
      <c r="N105" s="3">
        <f>IF(G105=0,"",M105/G105)</f>
        <v/>
      </c>
      <c r="O105" s="3">
        <f>IF(I105=0,"",M105/(I105/60))</f>
        <v/>
      </c>
      <c r="P105" s="3">
        <f>IF(A105="","",SUM($M$2:M105))</f>
        <v/>
      </c>
      <c r="Q105" s="3">
        <f>IF(P105="","",MAX($P$2:P105))</f>
        <v/>
      </c>
      <c r="R105" s="3">
        <f>IF(P105="","",P105-Q105)</f>
        <v/>
      </c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3">
        <f>H106-G106</f>
        <v/>
      </c>
      <c r="N106" s="3">
        <f>IF(G106=0,"",M106/G106)</f>
        <v/>
      </c>
      <c r="O106" s="3">
        <f>IF(I106=0,"",M106/(I106/60))</f>
        <v/>
      </c>
      <c r="P106" s="3">
        <f>IF(A106="","",SUM($M$2:M106))</f>
        <v/>
      </c>
      <c r="Q106" s="3">
        <f>IF(P106="","",MAX($P$2:P106))</f>
        <v/>
      </c>
      <c r="R106" s="3">
        <f>IF(P106="","",P106-Q106)</f>
        <v/>
      </c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3">
        <f>H107-G107</f>
        <v/>
      </c>
      <c r="N107" s="3">
        <f>IF(G107=0,"",M107/G107)</f>
        <v/>
      </c>
      <c r="O107" s="3">
        <f>IF(I107=0,"",M107/(I107/60))</f>
        <v/>
      </c>
      <c r="P107" s="3">
        <f>IF(A107="","",SUM($M$2:M107))</f>
        <v/>
      </c>
      <c r="Q107" s="3">
        <f>IF(P107="","",MAX($P$2:P107))</f>
        <v/>
      </c>
      <c r="R107" s="3">
        <f>IF(P107="","",P107-Q107)</f>
        <v/>
      </c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3">
        <f>H108-G108</f>
        <v/>
      </c>
      <c r="N108" s="3">
        <f>IF(G108=0,"",M108/G108)</f>
        <v/>
      </c>
      <c r="O108" s="3">
        <f>IF(I108=0,"",M108/(I108/60))</f>
        <v/>
      </c>
      <c r="P108" s="3">
        <f>IF(A108="","",SUM($M$2:M108))</f>
        <v/>
      </c>
      <c r="Q108" s="3">
        <f>IF(P108="","",MAX($P$2:P108))</f>
        <v/>
      </c>
      <c r="R108" s="3">
        <f>IF(P108="","",P108-Q108)</f>
        <v/>
      </c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3">
        <f>H109-G109</f>
        <v/>
      </c>
      <c r="N109" s="3">
        <f>IF(G109=0,"",M109/G109)</f>
        <v/>
      </c>
      <c r="O109" s="3">
        <f>IF(I109=0,"",M109/(I109/60))</f>
        <v/>
      </c>
      <c r="P109" s="3">
        <f>IF(A109="","",SUM($M$2:M109))</f>
        <v/>
      </c>
      <c r="Q109" s="3">
        <f>IF(P109="","",MAX($P$2:P109))</f>
        <v/>
      </c>
      <c r="R109" s="3">
        <f>IF(P109="","",P109-Q109)</f>
        <v/>
      </c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3">
        <f>H110-G110</f>
        <v/>
      </c>
      <c r="N110" s="3">
        <f>IF(G110=0,"",M110/G110)</f>
        <v/>
      </c>
      <c r="O110" s="3">
        <f>IF(I110=0,"",M110/(I110/60))</f>
        <v/>
      </c>
      <c r="P110" s="3">
        <f>IF(A110="","",SUM($M$2:M110))</f>
        <v/>
      </c>
      <c r="Q110" s="3">
        <f>IF(P110="","",MAX($P$2:P110))</f>
        <v/>
      </c>
      <c r="R110" s="3">
        <f>IF(P110="","",P110-Q110)</f>
        <v/>
      </c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3">
        <f>H111-G111</f>
        <v/>
      </c>
      <c r="N111" s="3">
        <f>IF(G111=0,"",M111/G111)</f>
        <v/>
      </c>
      <c r="O111" s="3">
        <f>IF(I111=0,"",M111/(I111/60))</f>
        <v/>
      </c>
      <c r="P111" s="3">
        <f>IF(A111="","",SUM($M$2:M111))</f>
        <v/>
      </c>
      <c r="Q111" s="3">
        <f>IF(P111="","",MAX($P$2:P111))</f>
        <v/>
      </c>
      <c r="R111" s="3">
        <f>IF(P111="","",P111-Q111)</f>
        <v/>
      </c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3">
        <f>H112-G112</f>
        <v/>
      </c>
      <c r="N112" s="3">
        <f>IF(G112=0,"",M112/G112)</f>
        <v/>
      </c>
      <c r="O112" s="3">
        <f>IF(I112=0,"",M112/(I112/60))</f>
        <v/>
      </c>
      <c r="P112" s="3">
        <f>IF(A112="","",SUM($M$2:M112))</f>
        <v/>
      </c>
      <c r="Q112" s="3">
        <f>IF(P112="","",MAX($P$2:P112))</f>
        <v/>
      </c>
      <c r="R112" s="3">
        <f>IF(P112="","",P112-Q112)</f>
        <v/>
      </c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3">
        <f>H113-G113</f>
        <v/>
      </c>
      <c r="N113" s="3">
        <f>IF(G113=0,"",M113/G113)</f>
        <v/>
      </c>
      <c r="O113" s="3">
        <f>IF(I113=0,"",M113/(I113/60))</f>
        <v/>
      </c>
      <c r="P113" s="3">
        <f>IF(A113="","",SUM($M$2:M113))</f>
        <v/>
      </c>
      <c r="Q113" s="3">
        <f>IF(P113="","",MAX($P$2:P113))</f>
        <v/>
      </c>
      <c r="R113" s="3">
        <f>IF(P113="","",P113-Q113)</f>
        <v/>
      </c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3">
        <f>H114-G114</f>
        <v/>
      </c>
      <c r="N114" s="3">
        <f>IF(G114=0,"",M114/G114)</f>
        <v/>
      </c>
      <c r="O114" s="3">
        <f>IF(I114=0,"",M114/(I114/60))</f>
        <v/>
      </c>
      <c r="P114" s="3">
        <f>IF(A114="","",SUM($M$2:M114))</f>
        <v/>
      </c>
      <c r="Q114" s="3">
        <f>IF(P114="","",MAX($P$2:P114))</f>
        <v/>
      </c>
      <c r="R114" s="3">
        <f>IF(P114="","",P114-Q114)</f>
        <v/>
      </c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3">
        <f>H115-G115</f>
        <v/>
      </c>
      <c r="N115" s="3">
        <f>IF(G115=0,"",M115/G115)</f>
        <v/>
      </c>
      <c r="O115" s="3">
        <f>IF(I115=0,"",M115/(I115/60))</f>
        <v/>
      </c>
      <c r="P115" s="3">
        <f>IF(A115="","",SUM($M$2:M115))</f>
        <v/>
      </c>
      <c r="Q115" s="3">
        <f>IF(P115="","",MAX($P$2:P115))</f>
        <v/>
      </c>
      <c r="R115" s="3">
        <f>IF(P115="","",P115-Q115)</f>
        <v/>
      </c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3">
        <f>H116-G116</f>
        <v/>
      </c>
      <c r="N116" s="3">
        <f>IF(G116=0,"",M116/G116)</f>
        <v/>
      </c>
      <c r="O116" s="3">
        <f>IF(I116=0,"",M116/(I116/60))</f>
        <v/>
      </c>
      <c r="P116" s="3">
        <f>IF(A116="","",SUM($M$2:M116))</f>
        <v/>
      </c>
      <c r="Q116" s="3">
        <f>IF(P116="","",MAX($P$2:P116))</f>
        <v/>
      </c>
      <c r="R116" s="3">
        <f>IF(P116="","",P116-Q116)</f>
        <v/>
      </c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3">
        <f>H117-G117</f>
        <v/>
      </c>
      <c r="N117" s="3">
        <f>IF(G117=0,"",M117/G117)</f>
        <v/>
      </c>
      <c r="O117" s="3">
        <f>IF(I117=0,"",M117/(I117/60))</f>
        <v/>
      </c>
      <c r="P117" s="3">
        <f>IF(A117="","",SUM($M$2:M117))</f>
        <v/>
      </c>
      <c r="Q117" s="3">
        <f>IF(P117="","",MAX($P$2:P117))</f>
        <v/>
      </c>
      <c r="R117" s="3">
        <f>IF(P117="","",P117-Q117)</f>
        <v/>
      </c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3">
        <f>H118-G118</f>
        <v/>
      </c>
      <c r="N118" s="3">
        <f>IF(G118=0,"",M118/G118)</f>
        <v/>
      </c>
      <c r="O118" s="3">
        <f>IF(I118=0,"",M118/(I118/60))</f>
        <v/>
      </c>
      <c r="P118" s="3">
        <f>IF(A118="","",SUM($M$2:M118))</f>
        <v/>
      </c>
      <c r="Q118" s="3">
        <f>IF(P118="","",MAX($P$2:P118))</f>
        <v/>
      </c>
      <c r="R118" s="3">
        <f>IF(P118="","",P118-Q118)</f>
        <v/>
      </c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3">
        <f>H119-G119</f>
        <v/>
      </c>
      <c r="N119" s="3">
        <f>IF(G119=0,"",M119/G119)</f>
        <v/>
      </c>
      <c r="O119" s="3">
        <f>IF(I119=0,"",M119/(I119/60))</f>
        <v/>
      </c>
      <c r="P119" s="3">
        <f>IF(A119="","",SUM($M$2:M119))</f>
        <v/>
      </c>
      <c r="Q119" s="3">
        <f>IF(P119="","",MAX($P$2:P119))</f>
        <v/>
      </c>
      <c r="R119" s="3">
        <f>IF(P119="","",P119-Q119)</f>
        <v/>
      </c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3">
        <f>H120-G120</f>
        <v/>
      </c>
      <c r="N120" s="3">
        <f>IF(G120=0,"",M120/G120)</f>
        <v/>
      </c>
      <c r="O120" s="3">
        <f>IF(I120=0,"",M120/(I120/60))</f>
        <v/>
      </c>
      <c r="P120" s="3">
        <f>IF(A120="","",SUM($M$2:M120))</f>
        <v/>
      </c>
      <c r="Q120" s="3">
        <f>IF(P120="","",MAX($P$2:P120))</f>
        <v/>
      </c>
      <c r="R120" s="3">
        <f>IF(P120="","",P120-Q120)</f>
        <v/>
      </c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3">
        <f>H121-G121</f>
        <v/>
      </c>
      <c r="N121" s="3">
        <f>IF(G121=0,"",M121/G121)</f>
        <v/>
      </c>
      <c r="O121" s="3">
        <f>IF(I121=0,"",M121/(I121/60))</f>
        <v/>
      </c>
      <c r="P121" s="3">
        <f>IF(A121="","",SUM($M$2:M121))</f>
        <v/>
      </c>
      <c r="Q121" s="3">
        <f>IF(P121="","",MAX($P$2:P121))</f>
        <v/>
      </c>
      <c r="R121" s="3">
        <f>IF(P121="","",P121-Q121)</f>
        <v/>
      </c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3">
        <f>H122-G122</f>
        <v/>
      </c>
      <c r="N122" s="3">
        <f>IF(G122=0,"",M122/G122)</f>
        <v/>
      </c>
      <c r="O122" s="3">
        <f>IF(I122=0,"",M122/(I122/60))</f>
        <v/>
      </c>
      <c r="P122" s="3">
        <f>IF(A122="","",SUM($M$2:M122))</f>
        <v/>
      </c>
      <c r="Q122" s="3">
        <f>IF(P122="","",MAX($P$2:P122))</f>
        <v/>
      </c>
      <c r="R122" s="3">
        <f>IF(P122="","",P122-Q122)</f>
        <v/>
      </c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3">
        <f>H123-G123</f>
        <v/>
      </c>
      <c r="N123" s="3">
        <f>IF(G123=0,"",M123/G123)</f>
        <v/>
      </c>
      <c r="O123" s="3">
        <f>IF(I123=0,"",M123/(I123/60))</f>
        <v/>
      </c>
      <c r="P123" s="3">
        <f>IF(A123="","",SUM($M$2:M123))</f>
        <v/>
      </c>
      <c r="Q123" s="3">
        <f>IF(P123="","",MAX($P$2:P123))</f>
        <v/>
      </c>
      <c r="R123" s="3">
        <f>IF(P123="","",P123-Q123)</f>
        <v/>
      </c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3">
        <f>H124-G124</f>
        <v/>
      </c>
      <c r="N124" s="3">
        <f>IF(G124=0,"",M124/G124)</f>
        <v/>
      </c>
      <c r="O124" s="3">
        <f>IF(I124=0,"",M124/(I124/60))</f>
        <v/>
      </c>
      <c r="P124" s="3">
        <f>IF(A124="","",SUM($M$2:M124))</f>
        <v/>
      </c>
      <c r="Q124" s="3">
        <f>IF(P124="","",MAX($P$2:P124))</f>
        <v/>
      </c>
      <c r="R124" s="3">
        <f>IF(P124="","",P124-Q124)</f>
        <v/>
      </c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3">
        <f>H125-G125</f>
        <v/>
      </c>
      <c r="N125" s="3">
        <f>IF(G125=0,"",M125/G125)</f>
        <v/>
      </c>
      <c r="O125" s="3">
        <f>IF(I125=0,"",M125/(I125/60))</f>
        <v/>
      </c>
      <c r="P125" s="3">
        <f>IF(A125="","",SUM($M$2:M125))</f>
        <v/>
      </c>
      <c r="Q125" s="3">
        <f>IF(P125="","",MAX($P$2:P125))</f>
        <v/>
      </c>
      <c r="R125" s="3">
        <f>IF(P125="","",P125-Q125)</f>
        <v/>
      </c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3">
        <f>H126-G126</f>
        <v/>
      </c>
      <c r="N126" s="3">
        <f>IF(G126=0,"",M126/G126)</f>
        <v/>
      </c>
      <c r="O126" s="3">
        <f>IF(I126=0,"",M126/(I126/60))</f>
        <v/>
      </c>
      <c r="P126" s="3">
        <f>IF(A126="","",SUM($M$2:M126))</f>
        <v/>
      </c>
      <c r="Q126" s="3">
        <f>IF(P126="","",MAX($P$2:P126))</f>
        <v/>
      </c>
      <c r="R126" s="3">
        <f>IF(P126="","",P126-Q126)</f>
        <v/>
      </c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3">
        <f>H127-G127</f>
        <v/>
      </c>
      <c r="N127" s="3">
        <f>IF(G127=0,"",M127/G127)</f>
        <v/>
      </c>
      <c r="O127" s="3">
        <f>IF(I127=0,"",M127/(I127/60))</f>
        <v/>
      </c>
      <c r="P127" s="3">
        <f>IF(A127="","",SUM($M$2:M127))</f>
        <v/>
      </c>
      <c r="Q127" s="3">
        <f>IF(P127="","",MAX($P$2:P127))</f>
        <v/>
      </c>
      <c r="R127" s="3">
        <f>IF(P127="","",P127-Q127)</f>
        <v/>
      </c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3">
        <f>H128-G128</f>
        <v/>
      </c>
      <c r="N128" s="3">
        <f>IF(G128=0,"",M128/G128)</f>
        <v/>
      </c>
      <c r="O128" s="3">
        <f>IF(I128=0,"",M128/(I128/60))</f>
        <v/>
      </c>
      <c r="P128" s="3">
        <f>IF(A128="","",SUM($M$2:M128))</f>
        <v/>
      </c>
      <c r="Q128" s="3">
        <f>IF(P128="","",MAX($P$2:P128))</f>
        <v/>
      </c>
      <c r="R128" s="3">
        <f>IF(P128="","",P128-Q128)</f>
        <v/>
      </c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3">
        <f>H129-G129</f>
        <v/>
      </c>
      <c r="N129" s="3">
        <f>IF(G129=0,"",M129/G129)</f>
        <v/>
      </c>
      <c r="O129" s="3">
        <f>IF(I129=0,"",M129/(I129/60))</f>
        <v/>
      </c>
      <c r="P129" s="3">
        <f>IF(A129="","",SUM($M$2:M129))</f>
        <v/>
      </c>
      <c r="Q129" s="3">
        <f>IF(P129="","",MAX($P$2:P129))</f>
        <v/>
      </c>
      <c r="R129" s="3">
        <f>IF(P129="","",P129-Q129)</f>
        <v/>
      </c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3">
        <f>H130-G130</f>
        <v/>
      </c>
      <c r="N130" s="3">
        <f>IF(G130=0,"",M130/G130)</f>
        <v/>
      </c>
      <c r="O130" s="3">
        <f>IF(I130=0,"",M130/(I130/60))</f>
        <v/>
      </c>
      <c r="P130" s="3">
        <f>IF(A130="","",SUM($M$2:M130))</f>
        <v/>
      </c>
      <c r="Q130" s="3">
        <f>IF(P130="","",MAX($P$2:P130))</f>
        <v/>
      </c>
      <c r="R130" s="3">
        <f>IF(P130="","",P130-Q130)</f>
        <v/>
      </c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3">
        <f>H131-G131</f>
        <v/>
      </c>
      <c r="N131" s="3">
        <f>IF(G131=0,"",M131/G131)</f>
        <v/>
      </c>
      <c r="O131" s="3">
        <f>IF(I131=0,"",M131/(I131/60))</f>
        <v/>
      </c>
      <c r="P131" s="3">
        <f>IF(A131="","",SUM($M$2:M131))</f>
        <v/>
      </c>
      <c r="Q131" s="3">
        <f>IF(P131="","",MAX($P$2:P131))</f>
        <v/>
      </c>
      <c r="R131" s="3">
        <f>IF(P131="","",P131-Q131)</f>
        <v/>
      </c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3">
        <f>H132-G132</f>
        <v/>
      </c>
      <c r="N132" s="3">
        <f>IF(G132=0,"",M132/G132)</f>
        <v/>
      </c>
      <c r="O132" s="3">
        <f>IF(I132=0,"",M132/(I132/60))</f>
        <v/>
      </c>
      <c r="P132" s="3">
        <f>IF(A132="","",SUM($M$2:M132))</f>
        <v/>
      </c>
      <c r="Q132" s="3">
        <f>IF(P132="","",MAX($P$2:P132))</f>
        <v/>
      </c>
      <c r="R132" s="3">
        <f>IF(P132="","",P132-Q132)</f>
        <v/>
      </c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3">
        <f>H133-G133</f>
        <v/>
      </c>
      <c r="N133" s="3">
        <f>IF(G133=0,"",M133/G133)</f>
        <v/>
      </c>
      <c r="O133" s="3">
        <f>IF(I133=0,"",M133/(I133/60))</f>
        <v/>
      </c>
      <c r="P133" s="3">
        <f>IF(A133="","",SUM($M$2:M133))</f>
        <v/>
      </c>
      <c r="Q133" s="3">
        <f>IF(P133="","",MAX($P$2:P133))</f>
        <v/>
      </c>
      <c r="R133" s="3">
        <f>IF(P133="","",P133-Q133)</f>
        <v/>
      </c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3">
        <f>H134-G134</f>
        <v/>
      </c>
      <c r="N134" s="3">
        <f>IF(G134=0,"",M134/G134)</f>
        <v/>
      </c>
      <c r="O134" s="3">
        <f>IF(I134=0,"",M134/(I134/60))</f>
        <v/>
      </c>
      <c r="P134" s="3">
        <f>IF(A134="","",SUM($M$2:M134))</f>
        <v/>
      </c>
      <c r="Q134" s="3">
        <f>IF(P134="","",MAX($P$2:P134))</f>
        <v/>
      </c>
      <c r="R134" s="3">
        <f>IF(P134="","",P134-Q134)</f>
        <v/>
      </c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3">
        <f>H135-G135</f>
        <v/>
      </c>
      <c r="N135" s="3">
        <f>IF(G135=0,"",M135/G135)</f>
        <v/>
      </c>
      <c r="O135" s="3">
        <f>IF(I135=0,"",M135/(I135/60))</f>
        <v/>
      </c>
      <c r="P135" s="3">
        <f>IF(A135="","",SUM($M$2:M135))</f>
        <v/>
      </c>
      <c r="Q135" s="3">
        <f>IF(P135="","",MAX($P$2:P135))</f>
        <v/>
      </c>
      <c r="R135" s="3">
        <f>IF(P135="","",P135-Q135)</f>
        <v/>
      </c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3">
        <f>H136-G136</f>
        <v/>
      </c>
      <c r="N136" s="3">
        <f>IF(G136=0,"",M136/G136)</f>
        <v/>
      </c>
      <c r="O136" s="3">
        <f>IF(I136=0,"",M136/(I136/60))</f>
        <v/>
      </c>
      <c r="P136" s="3">
        <f>IF(A136="","",SUM($M$2:M136))</f>
        <v/>
      </c>
      <c r="Q136" s="3">
        <f>IF(P136="","",MAX($P$2:P136))</f>
        <v/>
      </c>
      <c r="R136" s="3">
        <f>IF(P136="","",P136-Q136)</f>
        <v/>
      </c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3">
        <f>H137-G137</f>
        <v/>
      </c>
      <c r="N137" s="3">
        <f>IF(G137=0,"",M137/G137)</f>
        <v/>
      </c>
      <c r="O137" s="3">
        <f>IF(I137=0,"",M137/(I137/60))</f>
        <v/>
      </c>
      <c r="P137" s="3">
        <f>IF(A137="","",SUM($M$2:M137))</f>
        <v/>
      </c>
      <c r="Q137" s="3">
        <f>IF(P137="","",MAX($P$2:P137))</f>
        <v/>
      </c>
      <c r="R137" s="3">
        <f>IF(P137="","",P137-Q137)</f>
        <v/>
      </c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3">
        <f>H138-G138</f>
        <v/>
      </c>
      <c r="N138" s="3">
        <f>IF(G138=0,"",M138/G138)</f>
        <v/>
      </c>
      <c r="O138" s="3">
        <f>IF(I138=0,"",M138/(I138/60))</f>
        <v/>
      </c>
      <c r="P138" s="3">
        <f>IF(A138="","",SUM($M$2:M138))</f>
        <v/>
      </c>
      <c r="Q138" s="3">
        <f>IF(P138="","",MAX($P$2:P138))</f>
        <v/>
      </c>
      <c r="R138" s="3">
        <f>IF(P138="","",P138-Q138)</f>
        <v/>
      </c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3">
        <f>H139-G139</f>
        <v/>
      </c>
      <c r="N139" s="3">
        <f>IF(G139=0,"",M139/G139)</f>
        <v/>
      </c>
      <c r="O139" s="3">
        <f>IF(I139=0,"",M139/(I139/60))</f>
        <v/>
      </c>
      <c r="P139" s="3">
        <f>IF(A139="","",SUM($M$2:M139))</f>
        <v/>
      </c>
      <c r="Q139" s="3">
        <f>IF(P139="","",MAX($P$2:P139))</f>
        <v/>
      </c>
      <c r="R139" s="3">
        <f>IF(P139="","",P139-Q139)</f>
        <v/>
      </c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3">
        <f>H140-G140</f>
        <v/>
      </c>
      <c r="N140" s="3">
        <f>IF(G140=0,"",M140/G140)</f>
        <v/>
      </c>
      <c r="O140" s="3">
        <f>IF(I140=0,"",M140/(I140/60))</f>
        <v/>
      </c>
      <c r="P140" s="3">
        <f>IF(A140="","",SUM($M$2:M140))</f>
        <v/>
      </c>
      <c r="Q140" s="3">
        <f>IF(P140="","",MAX($P$2:P140))</f>
        <v/>
      </c>
      <c r="R140" s="3">
        <f>IF(P140="","",P140-Q140)</f>
        <v/>
      </c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3">
        <f>H141-G141</f>
        <v/>
      </c>
      <c r="N141" s="3">
        <f>IF(G141=0,"",M141/G141)</f>
        <v/>
      </c>
      <c r="O141" s="3">
        <f>IF(I141=0,"",M141/(I141/60))</f>
        <v/>
      </c>
      <c r="P141" s="3">
        <f>IF(A141="","",SUM($M$2:M141))</f>
        <v/>
      </c>
      <c r="Q141" s="3">
        <f>IF(P141="","",MAX($P$2:P141))</f>
        <v/>
      </c>
      <c r="R141" s="3">
        <f>IF(P141="","",P141-Q141)</f>
        <v/>
      </c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3">
        <f>H142-G142</f>
        <v/>
      </c>
      <c r="N142" s="3">
        <f>IF(G142=0,"",M142/G142)</f>
        <v/>
      </c>
      <c r="O142" s="3">
        <f>IF(I142=0,"",M142/(I142/60))</f>
        <v/>
      </c>
      <c r="P142" s="3">
        <f>IF(A142="","",SUM($M$2:M142))</f>
        <v/>
      </c>
      <c r="Q142" s="3">
        <f>IF(P142="","",MAX($P$2:P142))</f>
        <v/>
      </c>
      <c r="R142" s="3">
        <f>IF(P142="","",P142-Q142)</f>
        <v/>
      </c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3">
        <f>H143-G143</f>
        <v/>
      </c>
      <c r="N143" s="3">
        <f>IF(G143=0,"",M143/G143)</f>
        <v/>
      </c>
      <c r="O143" s="3">
        <f>IF(I143=0,"",M143/(I143/60))</f>
        <v/>
      </c>
      <c r="P143" s="3">
        <f>IF(A143="","",SUM($M$2:M143))</f>
        <v/>
      </c>
      <c r="Q143" s="3">
        <f>IF(P143="","",MAX($P$2:P143))</f>
        <v/>
      </c>
      <c r="R143" s="3">
        <f>IF(P143="","",P143-Q143)</f>
        <v/>
      </c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3">
        <f>H144-G144</f>
        <v/>
      </c>
      <c r="N144" s="3">
        <f>IF(G144=0,"",M144/G144)</f>
        <v/>
      </c>
      <c r="O144" s="3">
        <f>IF(I144=0,"",M144/(I144/60))</f>
        <v/>
      </c>
      <c r="P144" s="3">
        <f>IF(A144="","",SUM($M$2:M144))</f>
        <v/>
      </c>
      <c r="Q144" s="3">
        <f>IF(P144="","",MAX($P$2:P144))</f>
        <v/>
      </c>
      <c r="R144" s="3">
        <f>IF(P144="","",P144-Q144)</f>
        <v/>
      </c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3">
        <f>H145-G145</f>
        <v/>
      </c>
      <c r="N145" s="3">
        <f>IF(G145=0,"",M145/G145)</f>
        <v/>
      </c>
      <c r="O145" s="3">
        <f>IF(I145=0,"",M145/(I145/60))</f>
        <v/>
      </c>
      <c r="P145" s="3">
        <f>IF(A145="","",SUM($M$2:M145))</f>
        <v/>
      </c>
      <c r="Q145" s="3">
        <f>IF(P145="","",MAX($P$2:P145))</f>
        <v/>
      </c>
      <c r="R145" s="3">
        <f>IF(P145="","",P145-Q145)</f>
        <v/>
      </c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3">
        <f>H146-G146</f>
        <v/>
      </c>
      <c r="N146" s="3">
        <f>IF(G146=0,"",M146/G146)</f>
        <v/>
      </c>
      <c r="O146" s="3">
        <f>IF(I146=0,"",M146/(I146/60))</f>
        <v/>
      </c>
      <c r="P146" s="3">
        <f>IF(A146="","",SUM($M$2:M146))</f>
        <v/>
      </c>
      <c r="Q146" s="3">
        <f>IF(P146="","",MAX($P$2:P146))</f>
        <v/>
      </c>
      <c r="R146" s="3">
        <f>IF(P146="","",P146-Q146)</f>
        <v/>
      </c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3">
        <f>H147-G147</f>
        <v/>
      </c>
      <c r="N147" s="3">
        <f>IF(G147=0,"",M147/G147)</f>
        <v/>
      </c>
      <c r="O147" s="3">
        <f>IF(I147=0,"",M147/(I147/60))</f>
        <v/>
      </c>
      <c r="P147" s="3">
        <f>IF(A147="","",SUM($M$2:M147))</f>
        <v/>
      </c>
      <c r="Q147" s="3">
        <f>IF(P147="","",MAX($P$2:P147))</f>
        <v/>
      </c>
      <c r="R147" s="3">
        <f>IF(P147="","",P147-Q147)</f>
        <v/>
      </c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3">
        <f>H148-G148</f>
        <v/>
      </c>
      <c r="N148" s="3">
        <f>IF(G148=0,"",M148/G148)</f>
        <v/>
      </c>
      <c r="O148" s="3">
        <f>IF(I148=0,"",M148/(I148/60))</f>
        <v/>
      </c>
      <c r="P148" s="3">
        <f>IF(A148="","",SUM($M$2:M148))</f>
        <v/>
      </c>
      <c r="Q148" s="3">
        <f>IF(P148="","",MAX($P$2:P148))</f>
        <v/>
      </c>
      <c r="R148" s="3">
        <f>IF(P148="","",P148-Q148)</f>
        <v/>
      </c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3">
        <f>H149-G149</f>
        <v/>
      </c>
      <c r="N149" s="3">
        <f>IF(G149=0,"",M149/G149)</f>
        <v/>
      </c>
      <c r="O149" s="3">
        <f>IF(I149=0,"",M149/(I149/60))</f>
        <v/>
      </c>
      <c r="P149" s="3">
        <f>IF(A149="","",SUM($M$2:M149))</f>
        <v/>
      </c>
      <c r="Q149" s="3">
        <f>IF(P149="","",MAX($P$2:P149))</f>
        <v/>
      </c>
      <c r="R149" s="3">
        <f>IF(P149="","",P149-Q149)</f>
        <v/>
      </c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3">
        <f>H150-G150</f>
        <v/>
      </c>
      <c r="N150" s="3">
        <f>IF(G150=0,"",M150/G150)</f>
        <v/>
      </c>
      <c r="O150" s="3">
        <f>IF(I150=0,"",M150/(I150/60))</f>
        <v/>
      </c>
      <c r="P150" s="3">
        <f>IF(A150="","",SUM($M$2:M150))</f>
        <v/>
      </c>
      <c r="Q150" s="3">
        <f>IF(P150="","",MAX($P$2:P150))</f>
        <v/>
      </c>
      <c r="R150" s="3">
        <f>IF(P150="","",P150-Q150)</f>
        <v/>
      </c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3">
        <f>H151-G151</f>
        <v/>
      </c>
      <c r="N151" s="3">
        <f>IF(G151=0,"",M151/G151)</f>
        <v/>
      </c>
      <c r="O151" s="3">
        <f>IF(I151=0,"",M151/(I151/60))</f>
        <v/>
      </c>
      <c r="P151" s="3">
        <f>IF(A151="","",SUM($M$2:M151))</f>
        <v/>
      </c>
      <c r="Q151" s="3">
        <f>IF(P151="","",MAX($P$2:P151))</f>
        <v/>
      </c>
      <c r="R151" s="3">
        <f>IF(P151="","",P151-Q151)</f>
        <v/>
      </c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3">
        <f>H152-G152</f>
        <v/>
      </c>
      <c r="N152" s="3">
        <f>IF(G152=0,"",M152/G152)</f>
        <v/>
      </c>
      <c r="O152" s="3">
        <f>IF(I152=0,"",M152/(I152/60))</f>
        <v/>
      </c>
      <c r="P152" s="3">
        <f>IF(A152="","",SUM($M$2:M152))</f>
        <v/>
      </c>
      <c r="Q152" s="3">
        <f>IF(P152="","",MAX($P$2:P152))</f>
        <v/>
      </c>
      <c r="R152" s="3">
        <f>IF(P152="","",P152-Q152)</f>
        <v/>
      </c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3">
        <f>H153-G153</f>
        <v/>
      </c>
      <c r="N153" s="3">
        <f>IF(G153=0,"",M153/G153)</f>
        <v/>
      </c>
      <c r="O153" s="3">
        <f>IF(I153=0,"",M153/(I153/60))</f>
        <v/>
      </c>
      <c r="P153" s="3">
        <f>IF(A153="","",SUM($M$2:M153))</f>
        <v/>
      </c>
      <c r="Q153" s="3">
        <f>IF(P153="","",MAX($P$2:P153))</f>
        <v/>
      </c>
      <c r="R153" s="3">
        <f>IF(P153="","",P153-Q153)</f>
        <v/>
      </c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3">
        <f>H154-G154</f>
        <v/>
      </c>
      <c r="N154" s="3">
        <f>IF(G154=0,"",M154/G154)</f>
        <v/>
      </c>
      <c r="O154" s="3">
        <f>IF(I154=0,"",M154/(I154/60))</f>
        <v/>
      </c>
      <c r="P154" s="3">
        <f>IF(A154="","",SUM($M$2:M154))</f>
        <v/>
      </c>
      <c r="Q154" s="3">
        <f>IF(P154="","",MAX($P$2:P154))</f>
        <v/>
      </c>
      <c r="R154" s="3">
        <f>IF(P154="","",P154-Q154)</f>
        <v/>
      </c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3">
        <f>H155-G155</f>
        <v/>
      </c>
      <c r="N155" s="3">
        <f>IF(G155=0,"",M155/G155)</f>
        <v/>
      </c>
      <c r="O155" s="3">
        <f>IF(I155=0,"",M155/(I155/60))</f>
        <v/>
      </c>
      <c r="P155" s="3">
        <f>IF(A155="","",SUM($M$2:M155))</f>
        <v/>
      </c>
      <c r="Q155" s="3">
        <f>IF(P155="","",MAX($P$2:P155))</f>
        <v/>
      </c>
      <c r="R155" s="3">
        <f>IF(P155="","",P155-Q155)</f>
        <v/>
      </c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3">
        <f>H156-G156</f>
        <v/>
      </c>
      <c r="N156" s="3">
        <f>IF(G156=0,"",M156/G156)</f>
        <v/>
      </c>
      <c r="O156" s="3">
        <f>IF(I156=0,"",M156/(I156/60))</f>
        <v/>
      </c>
      <c r="P156" s="3">
        <f>IF(A156="","",SUM($M$2:M156))</f>
        <v/>
      </c>
      <c r="Q156" s="3">
        <f>IF(P156="","",MAX($P$2:P156))</f>
        <v/>
      </c>
      <c r="R156" s="3">
        <f>IF(P156="","",P156-Q156)</f>
        <v/>
      </c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3">
        <f>H157-G157</f>
        <v/>
      </c>
      <c r="N157" s="3">
        <f>IF(G157=0,"",M157/G157)</f>
        <v/>
      </c>
      <c r="O157" s="3">
        <f>IF(I157=0,"",M157/(I157/60))</f>
        <v/>
      </c>
      <c r="P157" s="3">
        <f>IF(A157="","",SUM($M$2:M157))</f>
        <v/>
      </c>
      <c r="Q157" s="3">
        <f>IF(P157="","",MAX($P$2:P157))</f>
        <v/>
      </c>
      <c r="R157" s="3">
        <f>IF(P157="","",P157-Q157)</f>
        <v/>
      </c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3">
        <f>H158-G158</f>
        <v/>
      </c>
      <c r="N158" s="3">
        <f>IF(G158=0,"",M158/G158)</f>
        <v/>
      </c>
      <c r="O158" s="3">
        <f>IF(I158=0,"",M158/(I158/60))</f>
        <v/>
      </c>
      <c r="P158" s="3">
        <f>IF(A158="","",SUM($M$2:M158))</f>
        <v/>
      </c>
      <c r="Q158" s="3">
        <f>IF(P158="","",MAX($P$2:P158))</f>
        <v/>
      </c>
      <c r="R158" s="3">
        <f>IF(P158="","",P158-Q158)</f>
        <v/>
      </c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3">
        <f>H159-G159</f>
        <v/>
      </c>
      <c r="N159" s="3">
        <f>IF(G159=0,"",M159/G159)</f>
        <v/>
      </c>
      <c r="O159" s="3">
        <f>IF(I159=0,"",M159/(I159/60))</f>
        <v/>
      </c>
      <c r="P159" s="3">
        <f>IF(A159="","",SUM($M$2:M159))</f>
        <v/>
      </c>
      <c r="Q159" s="3">
        <f>IF(P159="","",MAX($P$2:P159))</f>
        <v/>
      </c>
      <c r="R159" s="3">
        <f>IF(P159="","",P159-Q159)</f>
        <v/>
      </c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3">
        <f>H160-G160</f>
        <v/>
      </c>
      <c r="N160" s="3">
        <f>IF(G160=0,"",M160/G160)</f>
        <v/>
      </c>
      <c r="O160" s="3">
        <f>IF(I160=0,"",M160/(I160/60))</f>
        <v/>
      </c>
      <c r="P160" s="3">
        <f>IF(A160="","",SUM($M$2:M160))</f>
        <v/>
      </c>
      <c r="Q160" s="3">
        <f>IF(P160="","",MAX($P$2:P160))</f>
        <v/>
      </c>
      <c r="R160" s="3">
        <f>IF(P160="","",P160-Q160)</f>
        <v/>
      </c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3">
        <f>H161-G161</f>
        <v/>
      </c>
      <c r="N161" s="3">
        <f>IF(G161=0,"",M161/G161)</f>
        <v/>
      </c>
      <c r="O161" s="3">
        <f>IF(I161=0,"",M161/(I161/60))</f>
        <v/>
      </c>
      <c r="P161" s="3">
        <f>IF(A161="","",SUM($M$2:M161))</f>
        <v/>
      </c>
      <c r="Q161" s="3">
        <f>IF(P161="","",MAX($P$2:P161))</f>
        <v/>
      </c>
      <c r="R161" s="3">
        <f>IF(P161="","",P161-Q161)</f>
        <v/>
      </c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3">
        <f>H162-G162</f>
        <v/>
      </c>
      <c r="N162" s="3">
        <f>IF(G162=0,"",M162/G162)</f>
        <v/>
      </c>
      <c r="O162" s="3">
        <f>IF(I162=0,"",M162/(I162/60))</f>
        <v/>
      </c>
      <c r="P162" s="3">
        <f>IF(A162="","",SUM($M$2:M162))</f>
        <v/>
      </c>
      <c r="Q162" s="3">
        <f>IF(P162="","",MAX($P$2:P162))</f>
        <v/>
      </c>
      <c r="R162" s="3">
        <f>IF(P162="","",P162-Q162)</f>
        <v/>
      </c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3">
        <f>H163-G163</f>
        <v/>
      </c>
      <c r="N163" s="3">
        <f>IF(G163=0,"",M163/G163)</f>
        <v/>
      </c>
      <c r="O163" s="3">
        <f>IF(I163=0,"",M163/(I163/60))</f>
        <v/>
      </c>
      <c r="P163" s="3">
        <f>IF(A163="","",SUM($M$2:M163))</f>
        <v/>
      </c>
      <c r="Q163" s="3">
        <f>IF(P163="","",MAX($P$2:P163))</f>
        <v/>
      </c>
      <c r="R163" s="3">
        <f>IF(P163="","",P163-Q163)</f>
        <v/>
      </c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3">
        <f>H164-G164</f>
        <v/>
      </c>
      <c r="N164" s="3">
        <f>IF(G164=0,"",M164/G164)</f>
        <v/>
      </c>
      <c r="O164" s="3">
        <f>IF(I164=0,"",M164/(I164/60))</f>
        <v/>
      </c>
      <c r="P164" s="3">
        <f>IF(A164="","",SUM($M$2:M164))</f>
        <v/>
      </c>
      <c r="Q164" s="3">
        <f>IF(P164="","",MAX($P$2:P164))</f>
        <v/>
      </c>
      <c r="R164" s="3">
        <f>IF(P164="","",P164-Q164)</f>
        <v/>
      </c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3">
        <f>H165-G165</f>
        <v/>
      </c>
      <c r="N165" s="3">
        <f>IF(G165=0,"",M165/G165)</f>
        <v/>
      </c>
      <c r="O165" s="3">
        <f>IF(I165=0,"",M165/(I165/60))</f>
        <v/>
      </c>
      <c r="P165" s="3">
        <f>IF(A165="","",SUM($M$2:M165))</f>
        <v/>
      </c>
      <c r="Q165" s="3">
        <f>IF(P165="","",MAX($P$2:P165))</f>
        <v/>
      </c>
      <c r="R165" s="3">
        <f>IF(P165="","",P165-Q165)</f>
        <v/>
      </c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3">
        <f>H166-G166</f>
        <v/>
      </c>
      <c r="N166" s="3">
        <f>IF(G166=0,"",M166/G166)</f>
        <v/>
      </c>
      <c r="O166" s="3">
        <f>IF(I166=0,"",M166/(I166/60))</f>
        <v/>
      </c>
      <c r="P166" s="3">
        <f>IF(A166="","",SUM($M$2:M166))</f>
        <v/>
      </c>
      <c r="Q166" s="3">
        <f>IF(P166="","",MAX($P$2:P166))</f>
        <v/>
      </c>
      <c r="R166" s="3">
        <f>IF(P166="","",P166-Q166)</f>
        <v/>
      </c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3">
        <f>H167-G167</f>
        <v/>
      </c>
      <c r="N167" s="3">
        <f>IF(G167=0,"",M167/G167)</f>
        <v/>
      </c>
      <c r="O167" s="3">
        <f>IF(I167=0,"",M167/(I167/60))</f>
        <v/>
      </c>
      <c r="P167" s="3">
        <f>IF(A167="","",SUM($M$2:M167))</f>
        <v/>
      </c>
      <c r="Q167" s="3">
        <f>IF(P167="","",MAX($P$2:P167))</f>
        <v/>
      </c>
      <c r="R167" s="3">
        <f>IF(P167="","",P167-Q167)</f>
        <v/>
      </c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3">
        <f>H168-G168</f>
        <v/>
      </c>
      <c r="N168" s="3">
        <f>IF(G168=0,"",M168/G168)</f>
        <v/>
      </c>
      <c r="O168" s="3">
        <f>IF(I168=0,"",M168/(I168/60))</f>
        <v/>
      </c>
      <c r="P168" s="3">
        <f>IF(A168="","",SUM($M$2:M168))</f>
        <v/>
      </c>
      <c r="Q168" s="3">
        <f>IF(P168="","",MAX($P$2:P168))</f>
        <v/>
      </c>
      <c r="R168" s="3">
        <f>IF(P168="","",P168-Q168)</f>
        <v/>
      </c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3">
        <f>H169-G169</f>
        <v/>
      </c>
      <c r="N169" s="3">
        <f>IF(G169=0,"",M169/G169)</f>
        <v/>
      </c>
      <c r="O169" s="3">
        <f>IF(I169=0,"",M169/(I169/60))</f>
        <v/>
      </c>
      <c r="P169" s="3">
        <f>IF(A169="","",SUM($M$2:M169))</f>
        <v/>
      </c>
      <c r="Q169" s="3">
        <f>IF(P169="","",MAX($P$2:P169))</f>
        <v/>
      </c>
      <c r="R169" s="3">
        <f>IF(P169="","",P169-Q169)</f>
        <v/>
      </c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3">
        <f>H170-G170</f>
        <v/>
      </c>
      <c r="N170" s="3">
        <f>IF(G170=0,"",M170/G170)</f>
        <v/>
      </c>
      <c r="O170" s="3">
        <f>IF(I170=0,"",M170/(I170/60))</f>
        <v/>
      </c>
      <c r="P170" s="3">
        <f>IF(A170="","",SUM($M$2:M170))</f>
        <v/>
      </c>
      <c r="Q170" s="3">
        <f>IF(P170="","",MAX($P$2:P170))</f>
        <v/>
      </c>
      <c r="R170" s="3">
        <f>IF(P170="","",P170-Q170)</f>
        <v/>
      </c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3">
        <f>H171-G171</f>
        <v/>
      </c>
      <c r="N171" s="3">
        <f>IF(G171=0,"",M171/G171)</f>
        <v/>
      </c>
      <c r="O171" s="3">
        <f>IF(I171=0,"",M171/(I171/60))</f>
        <v/>
      </c>
      <c r="P171" s="3">
        <f>IF(A171="","",SUM($M$2:M171))</f>
        <v/>
      </c>
      <c r="Q171" s="3">
        <f>IF(P171="","",MAX($P$2:P171))</f>
        <v/>
      </c>
      <c r="R171" s="3">
        <f>IF(P171="","",P171-Q171)</f>
        <v/>
      </c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3">
        <f>H172-G172</f>
        <v/>
      </c>
      <c r="N172" s="3">
        <f>IF(G172=0,"",M172/G172)</f>
        <v/>
      </c>
      <c r="O172" s="3">
        <f>IF(I172=0,"",M172/(I172/60))</f>
        <v/>
      </c>
      <c r="P172" s="3">
        <f>IF(A172="","",SUM($M$2:M172))</f>
        <v/>
      </c>
      <c r="Q172" s="3">
        <f>IF(P172="","",MAX($P$2:P172))</f>
        <v/>
      </c>
      <c r="R172" s="3">
        <f>IF(P172="","",P172-Q172)</f>
        <v/>
      </c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3">
        <f>H173-G173</f>
        <v/>
      </c>
      <c r="N173" s="3">
        <f>IF(G173=0,"",M173/G173)</f>
        <v/>
      </c>
      <c r="O173" s="3">
        <f>IF(I173=0,"",M173/(I173/60))</f>
        <v/>
      </c>
      <c r="P173" s="3">
        <f>IF(A173="","",SUM($M$2:M173))</f>
        <v/>
      </c>
      <c r="Q173" s="3">
        <f>IF(P173="","",MAX($P$2:P173))</f>
        <v/>
      </c>
      <c r="R173" s="3">
        <f>IF(P173="","",P173-Q173)</f>
        <v/>
      </c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3">
        <f>H174-G174</f>
        <v/>
      </c>
      <c r="N174" s="3">
        <f>IF(G174=0,"",M174/G174)</f>
        <v/>
      </c>
      <c r="O174" s="3">
        <f>IF(I174=0,"",M174/(I174/60))</f>
        <v/>
      </c>
      <c r="P174" s="3">
        <f>IF(A174="","",SUM($M$2:M174))</f>
        <v/>
      </c>
      <c r="Q174" s="3">
        <f>IF(P174="","",MAX($P$2:P174))</f>
        <v/>
      </c>
      <c r="R174" s="3">
        <f>IF(P174="","",P174-Q174)</f>
        <v/>
      </c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3">
        <f>H175-G175</f>
        <v/>
      </c>
      <c r="N175" s="3">
        <f>IF(G175=0,"",M175/G175)</f>
        <v/>
      </c>
      <c r="O175" s="3">
        <f>IF(I175=0,"",M175/(I175/60))</f>
        <v/>
      </c>
      <c r="P175" s="3">
        <f>IF(A175="","",SUM($M$2:M175))</f>
        <v/>
      </c>
      <c r="Q175" s="3">
        <f>IF(P175="","",MAX($P$2:P175))</f>
        <v/>
      </c>
      <c r="R175" s="3">
        <f>IF(P175="","",P175-Q175)</f>
        <v/>
      </c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3">
        <f>H176-G176</f>
        <v/>
      </c>
      <c r="N176" s="3">
        <f>IF(G176=0,"",M176/G176)</f>
        <v/>
      </c>
      <c r="O176" s="3">
        <f>IF(I176=0,"",M176/(I176/60))</f>
        <v/>
      </c>
      <c r="P176" s="3">
        <f>IF(A176="","",SUM($M$2:M176))</f>
        <v/>
      </c>
      <c r="Q176" s="3">
        <f>IF(P176="","",MAX($P$2:P176))</f>
        <v/>
      </c>
      <c r="R176" s="3">
        <f>IF(P176="","",P176-Q176)</f>
        <v/>
      </c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3">
        <f>H177-G177</f>
        <v/>
      </c>
      <c r="N177" s="3">
        <f>IF(G177=0,"",M177/G177)</f>
        <v/>
      </c>
      <c r="O177" s="3">
        <f>IF(I177=0,"",M177/(I177/60))</f>
        <v/>
      </c>
      <c r="P177" s="3">
        <f>IF(A177="","",SUM($M$2:M177))</f>
        <v/>
      </c>
      <c r="Q177" s="3">
        <f>IF(P177="","",MAX($P$2:P177))</f>
        <v/>
      </c>
      <c r="R177" s="3">
        <f>IF(P177="","",P177-Q177)</f>
        <v/>
      </c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3">
        <f>H178-G178</f>
        <v/>
      </c>
      <c r="N178" s="3">
        <f>IF(G178=0,"",M178/G178)</f>
        <v/>
      </c>
      <c r="O178" s="3">
        <f>IF(I178=0,"",M178/(I178/60))</f>
        <v/>
      </c>
      <c r="P178" s="3">
        <f>IF(A178="","",SUM($M$2:M178))</f>
        <v/>
      </c>
      <c r="Q178" s="3">
        <f>IF(P178="","",MAX($P$2:P178))</f>
        <v/>
      </c>
      <c r="R178" s="3">
        <f>IF(P178="","",P178-Q178)</f>
        <v/>
      </c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3">
        <f>H179-G179</f>
        <v/>
      </c>
      <c r="N179" s="3">
        <f>IF(G179=0,"",M179/G179)</f>
        <v/>
      </c>
      <c r="O179" s="3">
        <f>IF(I179=0,"",M179/(I179/60))</f>
        <v/>
      </c>
      <c r="P179" s="3">
        <f>IF(A179="","",SUM($M$2:M179))</f>
        <v/>
      </c>
      <c r="Q179" s="3">
        <f>IF(P179="","",MAX($P$2:P179))</f>
        <v/>
      </c>
      <c r="R179" s="3">
        <f>IF(P179="","",P179-Q179)</f>
        <v/>
      </c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3">
        <f>H180-G180</f>
        <v/>
      </c>
      <c r="N180" s="3">
        <f>IF(G180=0,"",M180/G180)</f>
        <v/>
      </c>
      <c r="O180" s="3">
        <f>IF(I180=0,"",M180/(I180/60))</f>
        <v/>
      </c>
      <c r="P180" s="3">
        <f>IF(A180="","",SUM($M$2:M180))</f>
        <v/>
      </c>
      <c r="Q180" s="3">
        <f>IF(P180="","",MAX($P$2:P180))</f>
        <v/>
      </c>
      <c r="R180" s="3">
        <f>IF(P180="","",P180-Q180)</f>
        <v/>
      </c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3">
        <f>H181-G181</f>
        <v/>
      </c>
      <c r="N181" s="3">
        <f>IF(G181=0,"",M181/G181)</f>
        <v/>
      </c>
      <c r="O181" s="3">
        <f>IF(I181=0,"",M181/(I181/60))</f>
        <v/>
      </c>
      <c r="P181" s="3">
        <f>IF(A181="","",SUM($M$2:M181))</f>
        <v/>
      </c>
      <c r="Q181" s="3">
        <f>IF(P181="","",MAX($P$2:P181))</f>
        <v/>
      </c>
      <c r="R181" s="3">
        <f>IF(P181="","",P181-Q181)</f>
        <v/>
      </c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3">
        <f>H182-G182</f>
        <v/>
      </c>
      <c r="N182" s="3">
        <f>IF(G182=0,"",M182/G182)</f>
        <v/>
      </c>
      <c r="O182" s="3">
        <f>IF(I182=0,"",M182/(I182/60))</f>
        <v/>
      </c>
      <c r="P182" s="3">
        <f>IF(A182="","",SUM($M$2:M182))</f>
        <v/>
      </c>
      <c r="Q182" s="3">
        <f>IF(P182="","",MAX($P$2:P182))</f>
        <v/>
      </c>
      <c r="R182" s="3">
        <f>IF(P182="","",P182-Q182)</f>
        <v/>
      </c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3">
        <f>H183-G183</f>
        <v/>
      </c>
      <c r="N183" s="3">
        <f>IF(G183=0,"",M183/G183)</f>
        <v/>
      </c>
      <c r="O183" s="3">
        <f>IF(I183=0,"",M183/(I183/60))</f>
        <v/>
      </c>
      <c r="P183" s="3">
        <f>IF(A183="","",SUM($M$2:M183))</f>
        <v/>
      </c>
      <c r="Q183" s="3">
        <f>IF(P183="","",MAX($P$2:P183))</f>
        <v/>
      </c>
      <c r="R183" s="3">
        <f>IF(P183="","",P183-Q183)</f>
        <v/>
      </c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3">
        <f>H184-G184</f>
        <v/>
      </c>
      <c r="N184" s="3">
        <f>IF(G184=0,"",M184/G184)</f>
        <v/>
      </c>
      <c r="O184" s="3">
        <f>IF(I184=0,"",M184/(I184/60))</f>
        <v/>
      </c>
      <c r="P184" s="3">
        <f>IF(A184="","",SUM($M$2:M184))</f>
        <v/>
      </c>
      <c r="Q184" s="3">
        <f>IF(P184="","",MAX($P$2:P184))</f>
        <v/>
      </c>
      <c r="R184" s="3">
        <f>IF(P184="","",P184-Q184)</f>
        <v/>
      </c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3">
        <f>H185-G185</f>
        <v/>
      </c>
      <c r="N185" s="3">
        <f>IF(G185=0,"",M185/G185)</f>
        <v/>
      </c>
      <c r="O185" s="3">
        <f>IF(I185=0,"",M185/(I185/60))</f>
        <v/>
      </c>
      <c r="P185" s="3">
        <f>IF(A185="","",SUM($M$2:M185))</f>
        <v/>
      </c>
      <c r="Q185" s="3">
        <f>IF(P185="","",MAX($P$2:P185))</f>
        <v/>
      </c>
      <c r="R185" s="3">
        <f>IF(P185="","",P185-Q185)</f>
        <v/>
      </c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3">
        <f>H186-G186</f>
        <v/>
      </c>
      <c r="N186" s="3">
        <f>IF(G186=0,"",M186/G186)</f>
        <v/>
      </c>
      <c r="O186" s="3">
        <f>IF(I186=0,"",M186/(I186/60))</f>
        <v/>
      </c>
      <c r="P186" s="3">
        <f>IF(A186="","",SUM($M$2:M186))</f>
        <v/>
      </c>
      <c r="Q186" s="3">
        <f>IF(P186="","",MAX($P$2:P186))</f>
        <v/>
      </c>
      <c r="R186" s="3">
        <f>IF(P186="","",P186-Q186)</f>
        <v/>
      </c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3">
        <f>H187-G187</f>
        <v/>
      </c>
      <c r="N187" s="3">
        <f>IF(G187=0,"",M187/G187)</f>
        <v/>
      </c>
      <c r="O187" s="3">
        <f>IF(I187=0,"",M187/(I187/60))</f>
        <v/>
      </c>
      <c r="P187" s="3">
        <f>IF(A187="","",SUM($M$2:M187))</f>
        <v/>
      </c>
      <c r="Q187" s="3">
        <f>IF(P187="","",MAX($P$2:P187))</f>
        <v/>
      </c>
      <c r="R187" s="3">
        <f>IF(P187="","",P187-Q187)</f>
        <v/>
      </c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3">
        <f>H188-G188</f>
        <v/>
      </c>
      <c r="N188" s="3">
        <f>IF(G188=0,"",M188/G188)</f>
        <v/>
      </c>
      <c r="O188" s="3">
        <f>IF(I188=0,"",M188/(I188/60))</f>
        <v/>
      </c>
      <c r="P188" s="3">
        <f>IF(A188="","",SUM($M$2:M188))</f>
        <v/>
      </c>
      <c r="Q188" s="3">
        <f>IF(P188="","",MAX($P$2:P188))</f>
        <v/>
      </c>
      <c r="R188" s="3">
        <f>IF(P188="","",P188-Q188)</f>
        <v/>
      </c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3">
        <f>H189-G189</f>
        <v/>
      </c>
      <c r="N189" s="3">
        <f>IF(G189=0,"",M189/G189)</f>
        <v/>
      </c>
      <c r="O189" s="3">
        <f>IF(I189=0,"",M189/(I189/60))</f>
        <v/>
      </c>
      <c r="P189" s="3">
        <f>IF(A189="","",SUM($M$2:M189))</f>
        <v/>
      </c>
      <c r="Q189" s="3">
        <f>IF(P189="","",MAX($P$2:P189))</f>
        <v/>
      </c>
      <c r="R189" s="3">
        <f>IF(P189="","",P189-Q189)</f>
        <v/>
      </c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3">
        <f>H190-G190</f>
        <v/>
      </c>
      <c r="N190" s="3">
        <f>IF(G190=0,"",M190/G190)</f>
        <v/>
      </c>
      <c r="O190" s="3">
        <f>IF(I190=0,"",M190/(I190/60))</f>
        <v/>
      </c>
      <c r="P190" s="3">
        <f>IF(A190="","",SUM($M$2:M190))</f>
        <v/>
      </c>
      <c r="Q190" s="3">
        <f>IF(P190="","",MAX($P$2:P190))</f>
        <v/>
      </c>
      <c r="R190" s="3">
        <f>IF(P190="","",P190-Q190)</f>
        <v/>
      </c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3">
        <f>H191-G191</f>
        <v/>
      </c>
      <c r="N191" s="3">
        <f>IF(G191=0,"",M191/G191)</f>
        <v/>
      </c>
      <c r="O191" s="3">
        <f>IF(I191=0,"",M191/(I191/60))</f>
        <v/>
      </c>
      <c r="P191" s="3">
        <f>IF(A191="","",SUM($M$2:M191))</f>
        <v/>
      </c>
      <c r="Q191" s="3">
        <f>IF(P191="","",MAX($P$2:P191))</f>
        <v/>
      </c>
      <c r="R191" s="3">
        <f>IF(P191="","",P191-Q191)</f>
        <v/>
      </c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3">
        <f>H192-G192</f>
        <v/>
      </c>
      <c r="N192" s="3">
        <f>IF(G192=0,"",M192/G192)</f>
        <v/>
      </c>
      <c r="O192" s="3">
        <f>IF(I192=0,"",M192/(I192/60))</f>
        <v/>
      </c>
      <c r="P192" s="3">
        <f>IF(A192="","",SUM($M$2:M192))</f>
        <v/>
      </c>
      <c r="Q192" s="3">
        <f>IF(P192="","",MAX($P$2:P192))</f>
        <v/>
      </c>
      <c r="R192" s="3">
        <f>IF(P192="","",P192-Q192)</f>
        <v/>
      </c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3">
        <f>H193-G193</f>
        <v/>
      </c>
      <c r="N193" s="3">
        <f>IF(G193=0,"",M193/G193)</f>
        <v/>
      </c>
      <c r="O193" s="3">
        <f>IF(I193=0,"",M193/(I193/60))</f>
        <v/>
      </c>
      <c r="P193" s="3">
        <f>IF(A193="","",SUM($M$2:M193))</f>
        <v/>
      </c>
      <c r="Q193" s="3">
        <f>IF(P193="","",MAX($P$2:P193))</f>
        <v/>
      </c>
      <c r="R193" s="3">
        <f>IF(P193="","",P193-Q193)</f>
        <v/>
      </c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3">
        <f>H194-G194</f>
        <v/>
      </c>
      <c r="N194" s="3">
        <f>IF(G194=0,"",M194/G194)</f>
        <v/>
      </c>
      <c r="O194" s="3">
        <f>IF(I194=0,"",M194/(I194/60))</f>
        <v/>
      </c>
      <c r="P194" s="3">
        <f>IF(A194="","",SUM($M$2:M194))</f>
        <v/>
      </c>
      <c r="Q194" s="3">
        <f>IF(P194="","",MAX($P$2:P194))</f>
        <v/>
      </c>
      <c r="R194" s="3">
        <f>IF(P194="","",P194-Q194)</f>
        <v/>
      </c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3">
        <f>H195-G195</f>
        <v/>
      </c>
      <c r="N195" s="3">
        <f>IF(G195=0,"",M195/G195)</f>
        <v/>
      </c>
      <c r="O195" s="3">
        <f>IF(I195=0,"",M195/(I195/60))</f>
        <v/>
      </c>
      <c r="P195" s="3">
        <f>IF(A195="","",SUM($M$2:M195))</f>
        <v/>
      </c>
      <c r="Q195" s="3">
        <f>IF(P195="","",MAX($P$2:P195))</f>
        <v/>
      </c>
      <c r="R195" s="3">
        <f>IF(P195="","",P195-Q195)</f>
        <v/>
      </c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3">
        <f>H196-G196</f>
        <v/>
      </c>
      <c r="N196" s="3">
        <f>IF(G196=0,"",M196/G196)</f>
        <v/>
      </c>
      <c r="O196" s="3">
        <f>IF(I196=0,"",M196/(I196/60))</f>
        <v/>
      </c>
      <c r="P196" s="3">
        <f>IF(A196="","",SUM($M$2:M196))</f>
        <v/>
      </c>
      <c r="Q196" s="3">
        <f>IF(P196="","",MAX($P$2:P196))</f>
        <v/>
      </c>
      <c r="R196" s="3">
        <f>IF(P196="","",P196-Q196)</f>
        <v/>
      </c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3">
        <f>H197-G197</f>
        <v/>
      </c>
      <c r="N197" s="3">
        <f>IF(G197=0,"",M197/G197)</f>
        <v/>
      </c>
      <c r="O197" s="3">
        <f>IF(I197=0,"",M197/(I197/60))</f>
        <v/>
      </c>
      <c r="P197" s="3">
        <f>IF(A197="","",SUM($M$2:M197))</f>
        <v/>
      </c>
      <c r="Q197" s="3">
        <f>IF(P197="","",MAX($P$2:P197))</f>
        <v/>
      </c>
      <c r="R197" s="3">
        <f>IF(P197="","",P197-Q197)</f>
        <v/>
      </c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3">
        <f>H198-G198</f>
        <v/>
      </c>
      <c r="N198" s="3">
        <f>IF(G198=0,"",M198/G198)</f>
        <v/>
      </c>
      <c r="O198" s="3">
        <f>IF(I198=0,"",M198/(I198/60))</f>
        <v/>
      </c>
      <c r="P198" s="3">
        <f>IF(A198="","",SUM($M$2:M198))</f>
        <v/>
      </c>
      <c r="Q198" s="3">
        <f>IF(P198="","",MAX($P$2:P198))</f>
        <v/>
      </c>
      <c r="R198" s="3">
        <f>IF(P198="","",P198-Q198)</f>
        <v/>
      </c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3">
        <f>H199-G199</f>
        <v/>
      </c>
      <c r="N199" s="3">
        <f>IF(G199=0,"",M199/G199)</f>
        <v/>
      </c>
      <c r="O199" s="3">
        <f>IF(I199=0,"",M199/(I199/60))</f>
        <v/>
      </c>
      <c r="P199" s="3">
        <f>IF(A199="","",SUM($M$2:M199))</f>
        <v/>
      </c>
      <c r="Q199" s="3">
        <f>IF(P199="","",MAX($P$2:P199))</f>
        <v/>
      </c>
      <c r="R199" s="3">
        <f>IF(P199="","",P199-Q199)</f>
        <v/>
      </c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3">
        <f>H200-G200</f>
        <v/>
      </c>
      <c r="N200" s="3">
        <f>IF(G200=0,"",M200/G200)</f>
        <v/>
      </c>
      <c r="O200" s="3">
        <f>IF(I200=0,"",M200/(I200/60))</f>
        <v/>
      </c>
      <c r="P200" s="3">
        <f>IF(A200="","",SUM($M$2:M200))</f>
        <v/>
      </c>
      <c r="Q200" s="3">
        <f>IF(P200="","",MAX($P$2:P200))</f>
        <v/>
      </c>
      <c r="R200" s="3">
        <f>IF(P200="","",P200-Q200)</f>
        <v/>
      </c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3">
        <f>H201-G201</f>
        <v/>
      </c>
      <c r="N201" s="3">
        <f>IF(G201=0,"",M201/G201)</f>
        <v/>
      </c>
      <c r="O201" s="3">
        <f>IF(I201=0,"",M201/(I201/60))</f>
        <v/>
      </c>
      <c r="P201" s="3">
        <f>IF(A201="","",SUM($M$2:M201))</f>
        <v/>
      </c>
      <c r="Q201" s="3">
        <f>IF(P201="","",MAX($P$2:P201))</f>
        <v/>
      </c>
      <c r="R201" s="3">
        <f>IF(P201="","",P201-Q201)</f>
        <v/>
      </c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3">
        <f>H202-G202</f>
        <v/>
      </c>
      <c r="N202" s="3">
        <f>IF(G202=0,"",M202/G202)</f>
        <v/>
      </c>
      <c r="O202" s="3">
        <f>IF(I202=0,"",M202/(I202/60))</f>
        <v/>
      </c>
      <c r="P202" s="3">
        <f>IF(A202="","",SUM($M$2:M202))</f>
        <v/>
      </c>
      <c r="Q202" s="3">
        <f>IF(P202="","",MAX($P$2:P202))</f>
        <v/>
      </c>
      <c r="R202" s="3">
        <f>IF(P202="","",P202-Q202)</f>
        <v/>
      </c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3">
        <f>H203-G203</f>
        <v/>
      </c>
      <c r="N203" s="3">
        <f>IF(G203=0,"",M203/G203)</f>
        <v/>
      </c>
      <c r="O203" s="3">
        <f>IF(I203=0,"",M203/(I203/60))</f>
        <v/>
      </c>
      <c r="P203" s="3">
        <f>IF(A203="","",SUM($M$2:M203))</f>
        <v/>
      </c>
      <c r="Q203" s="3">
        <f>IF(P203="","",MAX($P$2:P203))</f>
        <v/>
      </c>
      <c r="R203" s="3">
        <f>IF(P203="","",P203-Q203)</f>
        <v/>
      </c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3">
        <f>H204-G204</f>
        <v/>
      </c>
      <c r="N204" s="3">
        <f>IF(G204=0,"",M204/G204)</f>
        <v/>
      </c>
      <c r="O204" s="3">
        <f>IF(I204=0,"",M204/(I204/60))</f>
        <v/>
      </c>
      <c r="P204" s="3">
        <f>IF(A204="","",SUM($M$2:M204))</f>
        <v/>
      </c>
      <c r="Q204" s="3">
        <f>IF(P204="","",MAX($P$2:P204))</f>
        <v/>
      </c>
      <c r="R204" s="3">
        <f>IF(P204="","",P204-Q204)</f>
        <v/>
      </c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3">
        <f>H205-G205</f>
        <v/>
      </c>
      <c r="N205" s="3">
        <f>IF(G205=0,"",M205/G205)</f>
        <v/>
      </c>
      <c r="O205" s="3">
        <f>IF(I205=0,"",M205/(I205/60))</f>
        <v/>
      </c>
      <c r="P205" s="3">
        <f>IF(A205="","",SUM($M$2:M205))</f>
        <v/>
      </c>
      <c r="Q205" s="3">
        <f>IF(P205="","",MAX($P$2:P205))</f>
        <v/>
      </c>
      <c r="R205" s="3">
        <f>IF(P205="","",P205-Q205)</f>
        <v/>
      </c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3">
        <f>H206-G206</f>
        <v/>
      </c>
      <c r="N206" s="3">
        <f>IF(G206=0,"",M206/G206)</f>
        <v/>
      </c>
      <c r="O206" s="3">
        <f>IF(I206=0,"",M206/(I206/60))</f>
        <v/>
      </c>
      <c r="P206" s="3">
        <f>IF(A206="","",SUM($M$2:M206))</f>
        <v/>
      </c>
      <c r="Q206" s="3">
        <f>IF(P206="","",MAX($P$2:P206))</f>
        <v/>
      </c>
      <c r="R206" s="3">
        <f>IF(P206="","",P206-Q206)</f>
        <v/>
      </c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3">
        <f>H207-G207</f>
        <v/>
      </c>
      <c r="N207" s="3">
        <f>IF(G207=0,"",M207/G207)</f>
        <v/>
      </c>
      <c r="O207" s="3">
        <f>IF(I207=0,"",M207/(I207/60))</f>
        <v/>
      </c>
      <c r="P207" s="3">
        <f>IF(A207="","",SUM($M$2:M207))</f>
        <v/>
      </c>
      <c r="Q207" s="3">
        <f>IF(P207="","",MAX($P$2:P207))</f>
        <v/>
      </c>
      <c r="R207" s="3">
        <f>IF(P207="","",P207-Q207)</f>
        <v/>
      </c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3">
        <f>H208-G208</f>
        <v/>
      </c>
      <c r="N208" s="3">
        <f>IF(G208=0,"",M208/G208)</f>
        <v/>
      </c>
      <c r="O208" s="3">
        <f>IF(I208=0,"",M208/(I208/60))</f>
        <v/>
      </c>
      <c r="P208" s="3">
        <f>IF(A208="","",SUM($M$2:M208))</f>
        <v/>
      </c>
      <c r="Q208" s="3">
        <f>IF(P208="","",MAX($P$2:P208))</f>
        <v/>
      </c>
      <c r="R208" s="3">
        <f>IF(P208="","",P208-Q208)</f>
        <v/>
      </c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3">
        <f>H209-G209</f>
        <v/>
      </c>
      <c r="N209" s="3">
        <f>IF(G209=0,"",M209/G209)</f>
        <v/>
      </c>
      <c r="O209" s="3">
        <f>IF(I209=0,"",M209/(I209/60))</f>
        <v/>
      </c>
      <c r="P209" s="3">
        <f>IF(A209="","",SUM($M$2:M209))</f>
        <v/>
      </c>
      <c r="Q209" s="3">
        <f>IF(P209="","",MAX($P$2:P209))</f>
        <v/>
      </c>
      <c r="R209" s="3">
        <f>IF(P209="","",P209-Q209)</f>
        <v/>
      </c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3">
        <f>H210-G210</f>
        <v/>
      </c>
      <c r="N210" s="3">
        <f>IF(G210=0,"",M210/G210)</f>
        <v/>
      </c>
      <c r="O210" s="3">
        <f>IF(I210=0,"",M210/(I210/60))</f>
        <v/>
      </c>
      <c r="P210" s="3">
        <f>IF(A210="","",SUM($M$2:M210))</f>
        <v/>
      </c>
      <c r="Q210" s="3">
        <f>IF(P210="","",MAX($P$2:P210))</f>
        <v/>
      </c>
      <c r="R210" s="3">
        <f>IF(P210="","",P210-Q210)</f>
        <v/>
      </c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3">
        <f>H211-G211</f>
        <v/>
      </c>
      <c r="N211" s="3">
        <f>IF(G211=0,"",M211/G211)</f>
        <v/>
      </c>
      <c r="O211" s="3">
        <f>IF(I211=0,"",M211/(I211/60))</f>
        <v/>
      </c>
      <c r="P211" s="3">
        <f>IF(A211="","",SUM($M$2:M211))</f>
        <v/>
      </c>
      <c r="Q211" s="3">
        <f>IF(P211="","",MAX($P$2:P211))</f>
        <v/>
      </c>
      <c r="R211" s="3">
        <f>IF(P211="","",P211-Q211)</f>
        <v/>
      </c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3">
        <f>H212-G212</f>
        <v/>
      </c>
      <c r="N212" s="3">
        <f>IF(G212=0,"",M212/G212)</f>
        <v/>
      </c>
      <c r="O212" s="3">
        <f>IF(I212=0,"",M212/(I212/60))</f>
        <v/>
      </c>
      <c r="P212" s="3">
        <f>IF(A212="","",SUM($M$2:M212))</f>
        <v/>
      </c>
      <c r="Q212" s="3">
        <f>IF(P212="","",MAX($P$2:P212))</f>
        <v/>
      </c>
      <c r="R212" s="3">
        <f>IF(P212="","",P212-Q212)</f>
        <v/>
      </c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3">
        <f>H213-G213</f>
        <v/>
      </c>
      <c r="N213" s="3">
        <f>IF(G213=0,"",M213/G213)</f>
        <v/>
      </c>
      <c r="O213" s="3">
        <f>IF(I213=0,"",M213/(I213/60))</f>
        <v/>
      </c>
      <c r="P213" s="3">
        <f>IF(A213="","",SUM($M$2:M213))</f>
        <v/>
      </c>
      <c r="Q213" s="3">
        <f>IF(P213="","",MAX($P$2:P213))</f>
        <v/>
      </c>
      <c r="R213" s="3">
        <f>IF(P213="","",P213-Q213)</f>
        <v/>
      </c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3">
        <f>H214-G214</f>
        <v/>
      </c>
      <c r="N214" s="3">
        <f>IF(G214=0,"",M214/G214)</f>
        <v/>
      </c>
      <c r="O214" s="3">
        <f>IF(I214=0,"",M214/(I214/60))</f>
        <v/>
      </c>
      <c r="P214" s="3">
        <f>IF(A214="","",SUM($M$2:M214))</f>
        <v/>
      </c>
      <c r="Q214" s="3">
        <f>IF(P214="","",MAX($P$2:P214))</f>
        <v/>
      </c>
      <c r="R214" s="3">
        <f>IF(P214="","",P214-Q214)</f>
        <v/>
      </c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3">
        <f>H215-G215</f>
        <v/>
      </c>
      <c r="N215" s="3">
        <f>IF(G215=0,"",M215/G215)</f>
        <v/>
      </c>
      <c r="O215" s="3">
        <f>IF(I215=0,"",M215/(I215/60))</f>
        <v/>
      </c>
      <c r="P215" s="3">
        <f>IF(A215="","",SUM($M$2:M215))</f>
        <v/>
      </c>
      <c r="Q215" s="3">
        <f>IF(P215="","",MAX($P$2:P215))</f>
        <v/>
      </c>
      <c r="R215" s="3">
        <f>IF(P215="","",P215-Q215)</f>
        <v/>
      </c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3">
        <f>H216-G216</f>
        <v/>
      </c>
      <c r="N216" s="3">
        <f>IF(G216=0,"",M216/G216)</f>
        <v/>
      </c>
      <c r="O216" s="3">
        <f>IF(I216=0,"",M216/(I216/60))</f>
        <v/>
      </c>
      <c r="P216" s="3">
        <f>IF(A216="","",SUM($M$2:M216))</f>
        <v/>
      </c>
      <c r="Q216" s="3">
        <f>IF(P216="","",MAX($P$2:P216))</f>
        <v/>
      </c>
      <c r="R216" s="3">
        <f>IF(P216="","",P216-Q216)</f>
        <v/>
      </c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3">
        <f>H217-G217</f>
        <v/>
      </c>
      <c r="N217" s="3">
        <f>IF(G217=0,"",M217/G217)</f>
        <v/>
      </c>
      <c r="O217" s="3">
        <f>IF(I217=0,"",M217/(I217/60))</f>
        <v/>
      </c>
      <c r="P217" s="3">
        <f>IF(A217="","",SUM($M$2:M217))</f>
        <v/>
      </c>
      <c r="Q217" s="3">
        <f>IF(P217="","",MAX($P$2:P217))</f>
        <v/>
      </c>
      <c r="R217" s="3">
        <f>IF(P217="","",P217-Q217)</f>
        <v/>
      </c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3">
        <f>H218-G218</f>
        <v/>
      </c>
      <c r="N218" s="3">
        <f>IF(G218=0,"",M218/G218)</f>
        <v/>
      </c>
      <c r="O218" s="3">
        <f>IF(I218=0,"",M218/(I218/60))</f>
        <v/>
      </c>
      <c r="P218" s="3">
        <f>IF(A218="","",SUM($M$2:M218))</f>
        <v/>
      </c>
      <c r="Q218" s="3">
        <f>IF(P218="","",MAX($P$2:P218))</f>
        <v/>
      </c>
      <c r="R218" s="3">
        <f>IF(P218="","",P218-Q218)</f>
        <v/>
      </c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3">
        <f>H219-G219</f>
        <v/>
      </c>
      <c r="N219" s="3">
        <f>IF(G219=0,"",M219/G219)</f>
        <v/>
      </c>
      <c r="O219" s="3">
        <f>IF(I219=0,"",M219/(I219/60))</f>
        <v/>
      </c>
      <c r="P219" s="3">
        <f>IF(A219="","",SUM($M$2:M219))</f>
        <v/>
      </c>
      <c r="Q219" s="3">
        <f>IF(P219="","",MAX($P$2:P219))</f>
        <v/>
      </c>
      <c r="R219" s="3">
        <f>IF(P219="","",P219-Q219)</f>
        <v/>
      </c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3">
        <f>H220-G220</f>
        <v/>
      </c>
      <c r="N220" s="3">
        <f>IF(G220=0,"",M220/G220)</f>
        <v/>
      </c>
      <c r="O220" s="3">
        <f>IF(I220=0,"",M220/(I220/60))</f>
        <v/>
      </c>
      <c r="P220" s="3">
        <f>IF(A220="","",SUM($M$2:M220))</f>
        <v/>
      </c>
      <c r="Q220" s="3">
        <f>IF(P220="","",MAX($P$2:P220))</f>
        <v/>
      </c>
      <c r="R220" s="3">
        <f>IF(P220="","",P220-Q220)</f>
        <v/>
      </c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3">
        <f>H221-G221</f>
        <v/>
      </c>
      <c r="N221" s="3">
        <f>IF(G221=0,"",M221/G221)</f>
        <v/>
      </c>
      <c r="O221" s="3">
        <f>IF(I221=0,"",M221/(I221/60))</f>
        <v/>
      </c>
      <c r="P221" s="3">
        <f>IF(A221="","",SUM($M$2:M221))</f>
        <v/>
      </c>
      <c r="Q221" s="3">
        <f>IF(P221="","",MAX($P$2:P221))</f>
        <v/>
      </c>
      <c r="R221" s="3">
        <f>IF(P221="","",P221-Q221)</f>
        <v/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3">
        <f>H222-G222</f>
        <v/>
      </c>
      <c r="N222" s="3">
        <f>IF(G222=0,"",M222/G222)</f>
        <v/>
      </c>
      <c r="O222" s="3">
        <f>IF(I222=0,"",M222/(I222/60))</f>
        <v/>
      </c>
      <c r="P222" s="3">
        <f>IF(A222="","",SUM($M$2:M222))</f>
        <v/>
      </c>
      <c r="Q222" s="3">
        <f>IF(P222="","",MAX($P$2:P222))</f>
        <v/>
      </c>
      <c r="R222" s="3">
        <f>IF(P222="","",P222-Q222)</f>
        <v/>
      </c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3">
        <f>H223-G223</f>
        <v/>
      </c>
      <c r="N223" s="3">
        <f>IF(G223=0,"",M223/G223)</f>
        <v/>
      </c>
      <c r="O223" s="3">
        <f>IF(I223=0,"",M223/(I223/60))</f>
        <v/>
      </c>
      <c r="P223" s="3">
        <f>IF(A223="","",SUM($M$2:M223))</f>
        <v/>
      </c>
      <c r="Q223" s="3">
        <f>IF(P223="","",MAX($P$2:P223))</f>
        <v/>
      </c>
      <c r="R223" s="3">
        <f>IF(P223="","",P223-Q223)</f>
        <v/>
      </c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3">
        <f>H224-G224</f>
        <v/>
      </c>
      <c r="N224" s="3">
        <f>IF(G224=0,"",M224/G224)</f>
        <v/>
      </c>
      <c r="O224" s="3">
        <f>IF(I224=0,"",M224/(I224/60))</f>
        <v/>
      </c>
      <c r="P224" s="3">
        <f>IF(A224="","",SUM($M$2:M224))</f>
        <v/>
      </c>
      <c r="Q224" s="3">
        <f>IF(P224="","",MAX($P$2:P224))</f>
        <v/>
      </c>
      <c r="R224" s="3">
        <f>IF(P224="","",P224-Q224)</f>
        <v/>
      </c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3">
        <f>H225-G225</f>
        <v/>
      </c>
      <c r="N225" s="3">
        <f>IF(G225=0,"",M225/G225)</f>
        <v/>
      </c>
      <c r="O225" s="3">
        <f>IF(I225=0,"",M225/(I225/60))</f>
        <v/>
      </c>
      <c r="P225" s="3">
        <f>IF(A225="","",SUM($M$2:M225))</f>
        <v/>
      </c>
      <c r="Q225" s="3">
        <f>IF(P225="","",MAX($P$2:P225))</f>
        <v/>
      </c>
      <c r="R225" s="3">
        <f>IF(P225="","",P225-Q225)</f>
        <v/>
      </c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3">
        <f>H226-G226</f>
        <v/>
      </c>
      <c r="N226" s="3">
        <f>IF(G226=0,"",M226/G226)</f>
        <v/>
      </c>
      <c r="O226" s="3">
        <f>IF(I226=0,"",M226/(I226/60))</f>
        <v/>
      </c>
      <c r="P226" s="3">
        <f>IF(A226="","",SUM($M$2:M226))</f>
        <v/>
      </c>
      <c r="Q226" s="3">
        <f>IF(P226="","",MAX($P$2:P226))</f>
        <v/>
      </c>
      <c r="R226" s="3">
        <f>IF(P226="","",P226-Q226)</f>
        <v/>
      </c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3">
        <f>H227-G227</f>
        <v/>
      </c>
      <c r="N227" s="3">
        <f>IF(G227=0,"",M227/G227)</f>
        <v/>
      </c>
      <c r="O227" s="3">
        <f>IF(I227=0,"",M227/(I227/60))</f>
        <v/>
      </c>
      <c r="P227" s="3">
        <f>IF(A227="","",SUM($M$2:M227))</f>
        <v/>
      </c>
      <c r="Q227" s="3">
        <f>IF(P227="","",MAX($P$2:P227))</f>
        <v/>
      </c>
      <c r="R227" s="3">
        <f>IF(P227="","",P227-Q227)</f>
        <v/>
      </c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3">
        <f>H228-G228</f>
        <v/>
      </c>
      <c r="N228" s="3">
        <f>IF(G228=0,"",M228/G228)</f>
        <v/>
      </c>
      <c r="O228" s="3">
        <f>IF(I228=0,"",M228/(I228/60))</f>
        <v/>
      </c>
      <c r="P228" s="3">
        <f>IF(A228="","",SUM($M$2:M228))</f>
        <v/>
      </c>
      <c r="Q228" s="3">
        <f>IF(P228="","",MAX($P$2:P228))</f>
        <v/>
      </c>
      <c r="R228" s="3">
        <f>IF(P228="","",P228-Q228)</f>
        <v/>
      </c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3">
        <f>H229-G229</f>
        <v/>
      </c>
      <c r="N229" s="3">
        <f>IF(G229=0,"",M229/G229)</f>
        <v/>
      </c>
      <c r="O229" s="3">
        <f>IF(I229=0,"",M229/(I229/60))</f>
        <v/>
      </c>
      <c r="P229" s="3">
        <f>IF(A229="","",SUM($M$2:M229))</f>
        <v/>
      </c>
      <c r="Q229" s="3">
        <f>IF(P229="","",MAX($P$2:P229))</f>
        <v/>
      </c>
      <c r="R229" s="3">
        <f>IF(P229="","",P229-Q229)</f>
        <v/>
      </c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3">
        <f>H230-G230</f>
        <v/>
      </c>
      <c r="N230" s="3">
        <f>IF(G230=0,"",M230/G230)</f>
        <v/>
      </c>
      <c r="O230" s="3">
        <f>IF(I230=0,"",M230/(I230/60))</f>
        <v/>
      </c>
      <c r="P230" s="3">
        <f>IF(A230="","",SUM($M$2:M230))</f>
        <v/>
      </c>
      <c r="Q230" s="3">
        <f>IF(P230="","",MAX($P$2:P230))</f>
        <v/>
      </c>
      <c r="R230" s="3">
        <f>IF(P230="","",P230-Q230)</f>
        <v/>
      </c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3">
        <f>H231-G231</f>
        <v/>
      </c>
      <c r="N231" s="3">
        <f>IF(G231=0,"",M231/G231)</f>
        <v/>
      </c>
      <c r="O231" s="3">
        <f>IF(I231=0,"",M231/(I231/60))</f>
        <v/>
      </c>
      <c r="P231" s="3">
        <f>IF(A231="","",SUM($M$2:M231))</f>
        <v/>
      </c>
      <c r="Q231" s="3">
        <f>IF(P231="","",MAX($P$2:P231))</f>
        <v/>
      </c>
      <c r="R231" s="3">
        <f>IF(P231="","",P231-Q231)</f>
        <v/>
      </c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3">
        <f>H232-G232</f>
        <v/>
      </c>
      <c r="N232" s="3">
        <f>IF(G232=0,"",M232/G232)</f>
        <v/>
      </c>
      <c r="O232" s="3">
        <f>IF(I232=0,"",M232/(I232/60))</f>
        <v/>
      </c>
      <c r="P232" s="3">
        <f>IF(A232="","",SUM($M$2:M232))</f>
        <v/>
      </c>
      <c r="Q232" s="3">
        <f>IF(P232="","",MAX($P$2:P232))</f>
        <v/>
      </c>
      <c r="R232" s="3">
        <f>IF(P232="","",P232-Q232)</f>
        <v/>
      </c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3">
        <f>H233-G233</f>
        <v/>
      </c>
      <c r="N233" s="3">
        <f>IF(G233=0,"",M233/G233)</f>
        <v/>
      </c>
      <c r="O233" s="3">
        <f>IF(I233=0,"",M233/(I233/60))</f>
        <v/>
      </c>
      <c r="P233" s="3">
        <f>IF(A233="","",SUM($M$2:M233))</f>
        <v/>
      </c>
      <c r="Q233" s="3">
        <f>IF(P233="","",MAX($P$2:P233))</f>
        <v/>
      </c>
      <c r="R233" s="3">
        <f>IF(P233="","",P233-Q233)</f>
        <v/>
      </c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3">
        <f>H234-G234</f>
        <v/>
      </c>
      <c r="N234" s="3">
        <f>IF(G234=0,"",M234/G234)</f>
        <v/>
      </c>
      <c r="O234" s="3">
        <f>IF(I234=0,"",M234/(I234/60))</f>
        <v/>
      </c>
      <c r="P234" s="3">
        <f>IF(A234="","",SUM($M$2:M234))</f>
        <v/>
      </c>
      <c r="Q234" s="3">
        <f>IF(P234="","",MAX($P$2:P234))</f>
        <v/>
      </c>
      <c r="R234" s="3">
        <f>IF(P234="","",P234-Q234)</f>
        <v/>
      </c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3">
        <f>H235-G235</f>
        <v/>
      </c>
      <c r="N235" s="3">
        <f>IF(G235=0,"",M235/G235)</f>
        <v/>
      </c>
      <c r="O235" s="3">
        <f>IF(I235=0,"",M235/(I235/60))</f>
        <v/>
      </c>
      <c r="P235" s="3">
        <f>IF(A235="","",SUM($M$2:M235))</f>
        <v/>
      </c>
      <c r="Q235" s="3">
        <f>IF(P235="","",MAX($P$2:P235))</f>
        <v/>
      </c>
      <c r="R235" s="3">
        <f>IF(P235="","",P235-Q235)</f>
        <v/>
      </c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3">
        <f>H236-G236</f>
        <v/>
      </c>
      <c r="N236" s="3">
        <f>IF(G236=0,"",M236/G236)</f>
        <v/>
      </c>
      <c r="O236" s="3">
        <f>IF(I236=0,"",M236/(I236/60))</f>
        <v/>
      </c>
      <c r="P236" s="3">
        <f>IF(A236="","",SUM($M$2:M236))</f>
        <v/>
      </c>
      <c r="Q236" s="3">
        <f>IF(P236="","",MAX($P$2:P236))</f>
        <v/>
      </c>
      <c r="R236" s="3">
        <f>IF(P236="","",P236-Q236)</f>
        <v/>
      </c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3">
        <f>H237-G237</f>
        <v/>
      </c>
      <c r="N237" s="3">
        <f>IF(G237=0,"",M237/G237)</f>
        <v/>
      </c>
      <c r="O237" s="3">
        <f>IF(I237=0,"",M237/(I237/60))</f>
        <v/>
      </c>
      <c r="P237" s="3">
        <f>IF(A237="","",SUM($M$2:M237))</f>
        <v/>
      </c>
      <c r="Q237" s="3">
        <f>IF(P237="","",MAX($P$2:P237))</f>
        <v/>
      </c>
      <c r="R237" s="3">
        <f>IF(P237="","",P237-Q237)</f>
        <v/>
      </c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3">
        <f>H238-G238</f>
        <v/>
      </c>
      <c r="N238" s="3">
        <f>IF(G238=0,"",M238/G238)</f>
        <v/>
      </c>
      <c r="O238" s="3">
        <f>IF(I238=0,"",M238/(I238/60))</f>
        <v/>
      </c>
      <c r="P238" s="3">
        <f>IF(A238="","",SUM($M$2:M238))</f>
        <v/>
      </c>
      <c r="Q238" s="3">
        <f>IF(P238="","",MAX($P$2:P238))</f>
        <v/>
      </c>
      <c r="R238" s="3">
        <f>IF(P238="","",P238-Q238)</f>
        <v/>
      </c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3">
        <f>H239-G239</f>
        <v/>
      </c>
      <c r="N239" s="3">
        <f>IF(G239=0,"",M239/G239)</f>
        <v/>
      </c>
      <c r="O239" s="3">
        <f>IF(I239=0,"",M239/(I239/60))</f>
        <v/>
      </c>
      <c r="P239" s="3">
        <f>IF(A239="","",SUM($M$2:M239))</f>
        <v/>
      </c>
      <c r="Q239" s="3">
        <f>IF(P239="","",MAX($P$2:P239))</f>
        <v/>
      </c>
      <c r="R239" s="3">
        <f>IF(P239="","",P239-Q239)</f>
        <v/>
      </c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3">
        <f>H240-G240</f>
        <v/>
      </c>
      <c r="N240" s="3">
        <f>IF(G240=0,"",M240/G240)</f>
        <v/>
      </c>
      <c r="O240" s="3">
        <f>IF(I240=0,"",M240/(I240/60))</f>
        <v/>
      </c>
      <c r="P240" s="3">
        <f>IF(A240="","",SUM($M$2:M240))</f>
        <v/>
      </c>
      <c r="Q240" s="3">
        <f>IF(P240="","",MAX($P$2:P240))</f>
        <v/>
      </c>
      <c r="R240" s="3">
        <f>IF(P240="","",P240-Q240)</f>
        <v/>
      </c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3">
        <f>H241-G241</f>
        <v/>
      </c>
      <c r="N241" s="3">
        <f>IF(G241=0,"",M241/G241)</f>
        <v/>
      </c>
      <c r="O241" s="3">
        <f>IF(I241=0,"",M241/(I241/60))</f>
        <v/>
      </c>
      <c r="P241" s="3">
        <f>IF(A241="","",SUM($M$2:M241))</f>
        <v/>
      </c>
      <c r="Q241" s="3">
        <f>IF(P241="","",MAX($P$2:P241))</f>
        <v/>
      </c>
      <c r="R241" s="3">
        <f>IF(P241="","",P241-Q241)</f>
        <v/>
      </c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3">
        <f>H242-G242</f>
        <v/>
      </c>
      <c r="N242" s="3">
        <f>IF(G242=0,"",M242/G242)</f>
        <v/>
      </c>
      <c r="O242" s="3">
        <f>IF(I242=0,"",M242/(I242/60))</f>
        <v/>
      </c>
      <c r="P242" s="3">
        <f>IF(A242="","",SUM($M$2:M242))</f>
        <v/>
      </c>
      <c r="Q242" s="3">
        <f>IF(P242="","",MAX($P$2:P242))</f>
        <v/>
      </c>
      <c r="R242" s="3">
        <f>IF(P242="","",P242-Q242)</f>
        <v/>
      </c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3">
        <f>H243-G243</f>
        <v/>
      </c>
      <c r="N243" s="3">
        <f>IF(G243=0,"",M243/G243)</f>
        <v/>
      </c>
      <c r="O243" s="3">
        <f>IF(I243=0,"",M243/(I243/60))</f>
        <v/>
      </c>
      <c r="P243" s="3">
        <f>IF(A243="","",SUM($M$2:M243))</f>
        <v/>
      </c>
      <c r="Q243" s="3">
        <f>IF(P243="","",MAX($P$2:P243))</f>
        <v/>
      </c>
      <c r="R243" s="3">
        <f>IF(P243="","",P243-Q243)</f>
        <v/>
      </c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3">
        <f>H244-G244</f>
        <v/>
      </c>
      <c r="N244" s="3">
        <f>IF(G244=0,"",M244/G244)</f>
        <v/>
      </c>
      <c r="O244" s="3">
        <f>IF(I244=0,"",M244/(I244/60))</f>
        <v/>
      </c>
      <c r="P244" s="3">
        <f>IF(A244="","",SUM($M$2:M244))</f>
        <v/>
      </c>
      <c r="Q244" s="3">
        <f>IF(P244="","",MAX($P$2:P244))</f>
        <v/>
      </c>
      <c r="R244" s="3">
        <f>IF(P244="","",P244-Q244)</f>
        <v/>
      </c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3">
        <f>H245-G245</f>
        <v/>
      </c>
      <c r="N245" s="3">
        <f>IF(G245=0,"",M245/G245)</f>
        <v/>
      </c>
      <c r="O245" s="3">
        <f>IF(I245=0,"",M245/(I245/60))</f>
        <v/>
      </c>
      <c r="P245" s="3">
        <f>IF(A245="","",SUM($M$2:M245))</f>
        <v/>
      </c>
      <c r="Q245" s="3">
        <f>IF(P245="","",MAX($P$2:P245))</f>
        <v/>
      </c>
      <c r="R245" s="3">
        <f>IF(P245="","",P245-Q245)</f>
        <v/>
      </c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3">
        <f>H246-G246</f>
        <v/>
      </c>
      <c r="N246" s="3">
        <f>IF(G246=0,"",M246/G246)</f>
        <v/>
      </c>
      <c r="O246" s="3">
        <f>IF(I246=0,"",M246/(I246/60))</f>
        <v/>
      </c>
      <c r="P246" s="3">
        <f>IF(A246="","",SUM($M$2:M246))</f>
        <v/>
      </c>
      <c r="Q246" s="3">
        <f>IF(P246="","",MAX($P$2:P246))</f>
        <v/>
      </c>
      <c r="R246" s="3">
        <f>IF(P246="","",P246-Q246)</f>
        <v/>
      </c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3">
        <f>H247-G247</f>
        <v/>
      </c>
      <c r="N247" s="3">
        <f>IF(G247=0,"",M247/G247)</f>
        <v/>
      </c>
      <c r="O247" s="3">
        <f>IF(I247=0,"",M247/(I247/60))</f>
        <v/>
      </c>
      <c r="P247" s="3">
        <f>IF(A247="","",SUM($M$2:M247))</f>
        <v/>
      </c>
      <c r="Q247" s="3">
        <f>IF(P247="","",MAX($P$2:P247))</f>
        <v/>
      </c>
      <c r="R247" s="3">
        <f>IF(P247="","",P247-Q247)</f>
        <v/>
      </c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3">
        <f>H248-G248</f>
        <v/>
      </c>
      <c r="N248" s="3">
        <f>IF(G248=0,"",M248/G248)</f>
        <v/>
      </c>
      <c r="O248" s="3">
        <f>IF(I248=0,"",M248/(I248/60))</f>
        <v/>
      </c>
      <c r="P248" s="3">
        <f>IF(A248="","",SUM($M$2:M248))</f>
        <v/>
      </c>
      <c r="Q248" s="3">
        <f>IF(P248="","",MAX($P$2:P248))</f>
        <v/>
      </c>
      <c r="R248" s="3">
        <f>IF(P248="","",P248-Q248)</f>
        <v/>
      </c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3">
        <f>H249-G249</f>
        <v/>
      </c>
      <c r="N249" s="3">
        <f>IF(G249=0,"",M249/G249)</f>
        <v/>
      </c>
      <c r="O249" s="3">
        <f>IF(I249=0,"",M249/(I249/60))</f>
        <v/>
      </c>
      <c r="P249" s="3">
        <f>IF(A249="","",SUM($M$2:M249))</f>
        <v/>
      </c>
      <c r="Q249" s="3">
        <f>IF(P249="","",MAX($P$2:P249))</f>
        <v/>
      </c>
      <c r="R249" s="3">
        <f>IF(P249="","",P249-Q249)</f>
        <v/>
      </c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3">
        <f>H250-G250</f>
        <v/>
      </c>
      <c r="N250" s="3">
        <f>IF(G250=0,"",M250/G250)</f>
        <v/>
      </c>
      <c r="O250" s="3">
        <f>IF(I250=0,"",M250/(I250/60))</f>
        <v/>
      </c>
      <c r="P250" s="3">
        <f>IF(A250="","",SUM($M$2:M250))</f>
        <v/>
      </c>
      <c r="Q250" s="3">
        <f>IF(P250="","",MAX($P$2:P250))</f>
        <v/>
      </c>
      <c r="R250" s="3">
        <f>IF(P250="","",P250-Q250)</f>
        <v/>
      </c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3">
        <f>H251-G251</f>
        <v/>
      </c>
      <c r="N251" s="3">
        <f>IF(G251=0,"",M251/G251)</f>
        <v/>
      </c>
      <c r="O251" s="3">
        <f>IF(I251=0,"",M251/(I251/60))</f>
        <v/>
      </c>
      <c r="P251" s="3">
        <f>IF(A251="","",SUM($M$2:M251))</f>
        <v/>
      </c>
      <c r="Q251" s="3">
        <f>IF(P251="","",MAX($P$2:P251))</f>
        <v/>
      </c>
      <c r="R251" s="3">
        <f>IF(P251="","",P251-Q251)</f>
        <v/>
      </c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3">
        <f>H252-G252</f>
        <v/>
      </c>
      <c r="N252" s="3">
        <f>IF(G252=0,"",M252/G252)</f>
        <v/>
      </c>
      <c r="O252" s="3">
        <f>IF(I252=0,"",M252/(I252/60))</f>
        <v/>
      </c>
      <c r="P252" s="3">
        <f>IF(A252="","",SUM($M$2:M252))</f>
        <v/>
      </c>
      <c r="Q252" s="3">
        <f>IF(P252="","",MAX($P$2:P252))</f>
        <v/>
      </c>
      <c r="R252" s="3">
        <f>IF(P252="","",P252-Q252)</f>
        <v/>
      </c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3">
        <f>H253-G253</f>
        <v/>
      </c>
      <c r="N253" s="3">
        <f>IF(G253=0,"",M253/G253)</f>
        <v/>
      </c>
      <c r="O253" s="3">
        <f>IF(I253=0,"",M253/(I253/60))</f>
        <v/>
      </c>
      <c r="P253" s="3">
        <f>IF(A253="","",SUM($M$2:M253))</f>
        <v/>
      </c>
      <c r="Q253" s="3">
        <f>IF(P253="","",MAX($P$2:P253))</f>
        <v/>
      </c>
      <c r="R253" s="3">
        <f>IF(P253="","",P253-Q253)</f>
        <v/>
      </c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3">
        <f>H254-G254</f>
        <v/>
      </c>
      <c r="N254" s="3">
        <f>IF(G254=0,"",M254/G254)</f>
        <v/>
      </c>
      <c r="O254" s="3">
        <f>IF(I254=0,"",M254/(I254/60))</f>
        <v/>
      </c>
      <c r="P254" s="3">
        <f>IF(A254="","",SUM($M$2:M254))</f>
        <v/>
      </c>
      <c r="Q254" s="3">
        <f>IF(P254="","",MAX($P$2:P254))</f>
        <v/>
      </c>
      <c r="R254" s="3">
        <f>IF(P254="","",P254-Q254)</f>
        <v/>
      </c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3">
        <f>H255-G255</f>
        <v/>
      </c>
      <c r="N255" s="3">
        <f>IF(G255=0,"",M255/G255)</f>
        <v/>
      </c>
      <c r="O255" s="3">
        <f>IF(I255=0,"",M255/(I255/60))</f>
        <v/>
      </c>
      <c r="P255" s="3">
        <f>IF(A255="","",SUM($M$2:M255))</f>
        <v/>
      </c>
      <c r="Q255" s="3">
        <f>IF(P255="","",MAX($P$2:P255))</f>
        <v/>
      </c>
      <c r="R255" s="3">
        <f>IF(P255="","",P255-Q255)</f>
        <v/>
      </c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3">
        <f>H256-G256</f>
        <v/>
      </c>
      <c r="N256" s="3">
        <f>IF(G256=0,"",M256/G256)</f>
        <v/>
      </c>
      <c r="O256" s="3">
        <f>IF(I256=0,"",M256/(I256/60))</f>
        <v/>
      </c>
      <c r="P256" s="3">
        <f>IF(A256="","",SUM($M$2:M256))</f>
        <v/>
      </c>
      <c r="Q256" s="3">
        <f>IF(P256="","",MAX($P$2:P256))</f>
        <v/>
      </c>
      <c r="R256" s="3">
        <f>IF(P256="","",P256-Q256)</f>
        <v/>
      </c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3">
        <f>H257-G257</f>
        <v/>
      </c>
      <c r="N257" s="3">
        <f>IF(G257=0,"",M257/G257)</f>
        <v/>
      </c>
      <c r="O257" s="3">
        <f>IF(I257=0,"",M257/(I257/60))</f>
        <v/>
      </c>
      <c r="P257" s="3">
        <f>IF(A257="","",SUM($M$2:M257))</f>
        <v/>
      </c>
      <c r="Q257" s="3">
        <f>IF(P257="","",MAX($P$2:P257))</f>
        <v/>
      </c>
      <c r="R257" s="3">
        <f>IF(P257="","",P257-Q257)</f>
        <v/>
      </c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3">
        <f>H258-G258</f>
        <v/>
      </c>
      <c r="N258" s="3">
        <f>IF(G258=0,"",M258/G258)</f>
        <v/>
      </c>
      <c r="O258" s="3">
        <f>IF(I258=0,"",M258/(I258/60))</f>
        <v/>
      </c>
      <c r="P258" s="3">
        <f>IF(A258="","",SUM($M$2:M258))</f>
        <v/>
      </c>
      <c r="Q258" s="3">
        <f>IF(P258="","",MAX($P$2:P258))</f>
        <v/>
      </c>
      <c r="R258" s="3">
        <f>IF(P258="","",P258-Q258)</f>
        <v/>
      </c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3">
        <f>H259-G259</f>
        <v/>
      </c>
      <c r="N259" s="3">
        <f>IF(G259=0,"",M259/G259)</f>
        <v/>
      </c>
      <c r="O259" s="3">
        <f>IF(I259=0,"",M259/(I259/60))</f>
        <v/>
      </c>
      <c r="P259" s="3">
        <f>IF(A259="","",SUM($M$2:M259))</f>
        <v/>
      </c>
      <c r="Q259" s="3">
        <f>IF(P259="","",MAX($P$2:P259))</f>
        <v/>
      </c>
      <c r="R259" s="3">
        <f>IF(P259="","",P259-Q259)</f>
        <v/>
      </c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3">
        <f>H260-G260</f>
        <v/>
      </c>
      <c r="N260" s="3">
        <f>IF(G260=0,"",M260/G260)</f>
        <v/>
      </c>
      <c r="O260" s="3">
        <f>IF(I260=0,"",M260/(I260/60))</f>
        <v/>
      </c>
      <c r="P260" s="3">
        <f>IF(A260="","",SUM($M$2:M260))</f>
        <v/>
      </c>
      <c r="Q260" s="3">
        <f>IF(P260="","",MAX($P$2:P260))</f>
        <v/>
      </c>
      <c r="R260" s="3">
        <f>IF(P260="","",P260-Q260)</f>
        <v/>
      </c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3">
        <f>H261-G261</f>
        <v/>
      </c>
      <c r="N261" s="3">
        <f>IF(G261=0,"",M261/G261)</f>
        <v/>
      </c>
      <c r="O261" s="3">
        <f>IF(I261=0,"",M261/(I261/60))</f>
        <v/>
      </c>
      <c r="P261" s="3">
        <f>IF(A261="","",SUM($M$2:M261))</f>
        <v/>
      </c>
      <c r="Q261" s="3">
        <f>IF(P261="","",MAX($P$2:P261))</f>
        <v/>
      </c>
      <c r="R261" s="3">
        <f>IF(P261="","",P261-Q261)</f>
        <v/>
      </c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3">
        <f>H262-G262</f>
        <v/>
      </c>
      <c r="N262" s="3">
        <f>IF(G262=0,"",M262/G262)</f>
        <v/>
      </c>
      <c r="O262" s="3">
        <f>IF(I262=0,"",M262/(I262/60))</f>
        <v/>
      </c>
      <c r="P262" s="3">
        <f>IF(A262="","",SUM($M$2:M262))</f>
        <v/>
      </c>
      <c r="Q262" s="3">
        <f>IF(P262="","",MAX($P$2:P262))</f>
        <v/>
      </c>
      <c r="R262" s="3">
        <f>IF(P262="","",P262-Q262)</f>
        <v/>
      </c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3">
        <f>H263-G263</f>
        <v/>
      </c>
      <c r="N263" s="3">
        <f>IF(G263=0,"",M263/G263)</f>
        <v/>
      </c>
      <c r="O263" s="3">
        <f>IF(I263=0,"",M263/(I263/60))</f>
        <v/>
      </c>
      <c r="P263" s="3">
        <f>IF(A263="","",SUM($M$2:M263))</f>
        <v/>
      </c>
      <c r="Q263" s="3">
        <f>IF(P263="","",MAX($P$2:P263))</f>
        <v/>
      </c>
      <c r="R263" s="3">
        <f>IF(P263="","",P263-Q263)</f>
        <v/>
      </c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3">
        <f>H264-G264</f>
        <v/>
      </c>
      <c r="N264" s="3">
        <f>IF(G264=0,"",M264/G264)</f>
        <v/>
      </c>
      <c r="O264" s="3">
        <f>IF(I264=0,"",M264/(I264/60))</f>
        <v/>
      </c>
      <c r="P264" s="3">
        <f>IF(A264="","",SUM($M$2:M264))</f>
        <v/>
      </c>
      <c r="Q264" s="3">
        <f>IF(P264="","",MAX($P$2:P264))</f>
        <v/>
      </c>
      <c r="R264" s="3">
        <f>IF(P264="","",P264-Q264)</f>
        <v/>
      </c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3">
        <f>H265-G265</f>
        <v/>
      </c>
      <c r="N265" s="3">
        <f>IF(G265=0,"",M265/G265)</f>
        <v/>
      </c>
      <c r="O265" s="3">
        <f>IF(I265=0,"",M265/(I265/60))</f>
        <v/>
      </c>
      <c r="P265" s="3">
        <f>IF(A265="","",SUM($M$2:M265))</f>
        <v/>
      </c>
      <c r="Q265" s="3">
        <f>IF(P265="","",MAX($P$2:P265))</f>
        <v/>
      </c>
      <c r="R265" s="3">
        <f>IF(P265="","",P265-Q265)</f>
        <v/>
      </c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3">
        <f>H266-G266</f>
        <v/>
      </c>
      <c r="N266" s="3">
        <f>IF(G266=0,"",M266/G266)</f>
        <v/>
      </c>
      <c r="O266" s="3">
        <f>IF(I266=0,"",M266/(I266/60))</f>
        <v/>
      </c>
      <c r="P266" s="3">
        <f>IF(A266="","",SUM($M$2:M266))</f>
        <v/>
      </c>
      <c r="Q266" s="3">
        <f>IF(P266="","",MAX($P$2:P266))</f>
        <v/>
      </c>
      <c r="R266" s="3">
        <f>IF(P266="","",P266-Q266)</f>
        <v/>
      </c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3">
        <f>H267-G267</f>
        <v/>
      </c>
      <c r="N267" s="3">
        <f>IF(G267=0,"",M267/G267)</f>
        <v/>
      </c>
      <c r="O267" s="3">
        <f>IF(I267=0,"",M267/(I267/60))</f>
        <v/>
      </c>
      <c r="P267" s="3">
        <f>IF(A267="","",SUM($M$2:M267))</f>
        <v/>
      </c>
      <c r="Q267" s="3">
        <f>IF(P267="","",MAX($P$2:P267))</f>
        <v/>
      </c>
      <c r="R267" s="3">
        <f>IF(P267="","",P267-Q267)</f>
        <v/>
      </c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3">
        <f>H268-G268</f>
        <v/>
      </c>
      <c r="N268" s="3">
        <f>IF(G268=0,"",M268/G268)</f>
        <v/>
      </c>
      <c r="O268" s="3">
        <f>IF(I268=0,"",M268/(I268/60))</f>
        <v/>
      </c>
      <c r="P268" s="3">
        <f>IF(A268="","",SUM($M$2:M268))</f>
        <v/>
      </c>
      <c r="Q268" s="3">
        <f>IF(P268="","",MAX($P$2:P268))</f>
        <v/>
      </c>
      <c r="R268" s="3">
        <f>IF(P268="","",P268-Q268)</f>
        <v/>
      </c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3">
        <f>H269-G269</f>
        <v/>
      </c>
      <c r="N269" s="3">
        <f>IF(G269=0,"",M269/G269)</f>
        <v/>
      </c>
      <c r="O269" s="3">
        <f>IF(I269=0,"",M269/(I269/60))</f>
        <v/>
      </c>
      <c r="P269" s="3">
        <f>IF(A269="","",SUM($M$2:M269))</f>
        <v/>
      </c>
      <c r="Q269" s="3">
        <f>IF(P269="","",MAX($P$2:P269))</f>
        <v/>
      </c>
      <c r="R269" s="3">
        <f>IF(P269="","",P269-Q269)</f>
        <v/>
      </c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3">
        <f>H270-G270</f>
        <v/>
      </c>
      <c r="N270" s="3">
        <f>IF(G270=0,"",M270/G270)</f>
        <v/>
      </c>
      <c r="O270" s="3">
        <f>IF(I270=0,"",M270/(I270/60))</f>
        <v/>
      </c>
      <c r="P270" s="3">
        <f>IF(A270="","",SUM($M$2:M270))</f>
        <v/>
      </c>
      <c r="Q270" s="3">
        <f>IF(P270="","",MAX($P$2:P270))</f>
        <v/>
      </c>
      <c r="R270" s="3">
        <f>IF(P270="","",P270-Q270)</f>
        <v/>
      </c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3">
        <f>H271-G271</f>
        <v/>
      </c>
      <c r="N271" s="3">
        <f>IF(G271=0,"",M271/G271)</f>
        <v/>
      </c>
      <c r="O271" s="3">
        <f>IF(I271=0,"",M271/(I271/60))</f>
        <v/>
      </c>
      <c r="P271" s="3">
        <f>IF(A271="","",SUM($M$2:M271))</f>
        <v/>
      </c>
      <c r="Q271" s="3">
        <f>IF(P271="","",MAX($P$2:P271))</f>
        <v/>
      </c>
      <c r="R271" s="3">
        <f>IF(P271="","",P271-Q271)</f>
        <v/>
      </c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3">
        <f>H272-G272</f>
        <v/>
      </c>
      <c r="N272" s="3">
        <f>IF(G272=0,"",M272/G272)</f>
        <v/>
      </c>
      <c r="O272" s="3">
        <f>IF(I272=0,"",M272/(I272/60))</f>
        <v/>
      </c>
      <c r="P272" s="3">
        <f>IF(A272="","",SUM($M$2:M272))</f>
        <v/>
      </c>
      <c r="Q272" s="3">
        <f>IF(P272="","",MAX($P$2:P272))</f>
        <v/>
      </c>
      <c r="R272" s="3">
        <f>IF(P272="","",P272-Q272)</f>
        <v/>
      </c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3">
        <f>H273-G273</f>
        <v/>
      </c>
      <c r="N273" s="3">
        <f>IF(G273=0,"",M273/G273)</f>
        <v/>
      </c>
      <c r="O273" s="3">
        <f>IF(I273=0,"",M273/(I273/60))</f>
        <v/>
      </c>
      <c r="P273" s="3">
        <f>IF(A273="","",SUM($M$2:M273))</f>
        <v/>
      </c>
      <c r="Q273" s="3">
        <f>IF(P273="","",MAX($P$2:P273))</f>
        <v/>
      </c>
      <c r="R273" s="3">
        <f>IF(P273="","",P273-Q273)</f>
        <v/>
      </c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3">
        <f>H274-G274</f>
        <v/>
      </c>
      <c r="N274" s="3">
        <f>IF(G274=0,"",M274/G274)</f>
        <v/>
      </c>
      <c r="O274" s="3">
        <f>IF(I274=0,"",M274/(I274/60))</f>
        <v/>
      </c>
      <c r="P274" s="3">
        <f>IF(A274="","",SUM($M$2:M274))</f>
        <v/>
      </c>
      <c r="Q274" s="3">
        <f>IF(P274="","",MAX($P$2:P274))</f>
        <v/>
      </c>
      <c r="R274" s="3">
        <f>IF(P274="","",P274-Q274)</f>
        <v/>
      </c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3">
        <f>H275-G275</f>
        <v/>
      </c>
      <c r="N275" s="3">
        <f>IF(G275=0,"",M275/G275)</f>
        <v/>
      </c>
      <c r="O275" s="3">
        <f>IF(I275=0,"",M275/(I275/60))</f>
        <v/>
      </c>
      <c r="P275" s="3">
        <f>IF(A275="","",SUM($M$2:M275))</f>
        <v/>
      </c>
      <c r="Q275" s="3">
        <f>IF(P275="","",MAX($P$2:P275))</f>
        <v/>
      </c>
      <c r="R275" s="3">
        <f>IF(P275="","",P275-Q275)</f>
        <v/>
      </c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3">
        <f>H276-G276</f>
        <v/>
      </c>
      <c r="N276" s="3">
        <f>IF(G276=0,"",M276/G276)</f>
        <v/>
      </c>
      <c r="O276" s="3">
        <f>IF(I276=0,"",M276/(I276/60))</f>
        <v/>
      </c>
      <c r="P276" s="3">
        <f>IF(A276="","",SUM($M$2:M276))</f>
        <v/>
      </c>
      <c r="Q276" s="3">
        <f>IF(P276="","",MAX($P$2:P276))</f>
        <v/>
      </c>
      <c r="R276" s="3">
        <f>IF(P276="","",P276-Q276)</f>
        <v/>
      </c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3">
        <f>H277-G277</f>
        <v/>
      </c>
      <c r="N277" s="3">
        <f>IF(G277=0,"",M277/G277)</f>
        <v/>
      </c>
      <c r="O277" s="3">
        <f>IF(I277=0,"",M277/(I277/60))</f>
        <v/>
      </c>
      <c r="P277" s="3">
        <f>IF(A277="","",SUM($M$2:M277))</f>
        <v/>
      </c>
      <c r="Q277" s="3">
        <f>IF(P277="","",MAX($P$2:P277))</f>
        <v/>
      </c>
      <c r="R277" s="3">
        <f>IF(P277="","",P277-Q277)</f>
        <v/>
      </c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3">
        <f>H278-G278</f>
        <v/>
      </c>
      <c r="N278" s="3">
        <f>IF(G278=0,"",M278/G278)</f>
        <v/>
      </c>
      <c r="O278" s="3">
        <f>IF(I278=0,"",M278/(I278/60))</f>
        <v/>
      </c>
      <c r="P278" s="3">
        <f>IF(A278="","",SUM($M$2:M278))</f>
        <v/>
      </c>
      <c r="Q278" s="3">
        <f>IF(P278="","",MAX($P$2:P278))</f>
        <v/>
      </c>
      <c r="R278" s="3">
        <f>IF(P278="","",P278-Q278)</f>
        <v/>
      </c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3">
        <f>H279-G279</f>
        <v/>
      </c>
      <c r="N279" s="3">
        <f>IF(G279=0,"",M279/G279)</f>
        <v/>
      </c>
      <c r="O279" s="3">
        <f>IF(I279=0,"",M279/(I279/60))</f>
        <v/>
      </c>
      <c r="P279" s="3">
        <f>IF(A279="","",SUM($M$2:M279))</f>
        <v/>
      </c>
      <c r="Q279" s="3">
        <f>IF(P279="","",MAX($P$2:P279))</f>
        <v/>
      </c>
      <c r="R279" s="3">
        <f>IF(P279="","",P279-Q279)</f>
        <v/>
      </c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3">
        <f>H280-G280</f>
        <v/>
      </c>
      <c r="N280" s="3">
        <f>IF(G280=0,"",M280/G280)</f>
        <v/>
      </c>
      <c r="O280" s="3">
        <f>IF(I280=0,"",M280/(I280/60))</f>
        <v/>
      </c>
      <c r="P280" s="3">
        <f>IF(A280="","",SUM($M$2:M280))</f>
        <v/>
      </c>
      <c r="Q280" s="3">
        <f>IF(P280="","",MAX($P$2:P280))</f>
        <v/>
      </c>
      <c r="R280" s="3">
        <f>IF(P280="","",P280-Q280)</f>
        <v/>
      </c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3">
        <f>H281-G281</f>
        <v/>
      </c>
      <c r="N281" s="3">
        <f>IF(G281=0,"",M281/G281)</f>
        <v/>
      </c>
      <c r="O281" s="3">
        <f>IF(I281=0,"",M281/(I281/60))</f>
        <v/>
      </c>
      <c r="P281" s="3">
        <f>IF(A281="","",SUM($M$2:M281))</f>
        <v/>
      </c>
      <c r="Q281" s="3">
        <f>IF(P281="","",MAX($P$2:P281))</f>
        <v/>
      </c>
      <c r="R281" s="3">
        <f>IF(P281="","",P281-Q281)</f>
        <v/>
      </c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3">
        <f>H282-G282</f>
        <v/>
      </c>
      <c r="N282" s="3">
        <f>IF(G282=0,"",M282/G282)</f>
        <v/>
      </c>
      <c r="O282" s="3">
        <f>IF(I282=0,"",M282/(I282/60))</f>
        <v/>
      </c>
      <c r="P282" s="3">
        <f>IF(A282="","",SUM($M$2:M282))</f>
        <v/>
      </c>
      <c r="Q282" s="3">
        <f>IF(P282="","",MAX($P$2:P282))</f>
        <v/>
      </c>
      <c r="R282" s="3">
        <f>IF(P282="","",P282-Q282)</f>
        <v/>
      </c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3">
        <f>H283-G283</f>
        <v/>
      </c>
      <c r="N283" s="3">
        <f>IF(G283=0,"",M283/G283)</f>
        <v/>
      </c>
      <c r="O283" s="3">
        <f>IF(I283=0,"",M283/(I283/60))</f>
        <v/>
      </c>
      <c r="P283" s="3">
        <f>IF(A283="","",SUM($M$2:M283))</f>
        <v/>
      </c>
      <c r="Q283" s="3">
        <f>IF(P283="","",MAX($P$2:P283))</f>
        <v/>
      </c>
      <c r="R283" s="3">
        <f>IF(P283="","",P283-Q283)</f>
        <v/>
      </c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3">
        <f>H284-G284</f>
        <v/>
      </c>
      <c r="N284" s="3">
        <f>IF(G284=0,"",M284/G284)</f>
        <v/>
      </c>
      <c r="O284" s="3">
        <f>IF(I284=0,"",M284/(I284/60))</f>
        <v/>
      </c>
      <c r="P284" s="3">
        <f>IF(A284="","",SUM($M$2:M284))</f>
        <v/>
      </c>
      <c r="Q284" s="3">
        <f>IF(P284="","",MAX($P$2:P284))</f>
        <v/>
      </c>
      <c r="R284" s="3">
        <f>IF(P284="","",P284-Q284)</f>
        <v/>
      </c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3">
        <f>H285-G285</f>
        <v/>
      </c>
      <c r="N285" s="3">
        <f>IF(G285=0,"",M285/G285)</f>
        <v/>
      </c>
      <c r="O285" s="3">
        <f>IF(I285=0,"",M285/(I285/60))</f>
        <v/>
      </c>
      <c r="P285" s="3">
        <f>IF(A285="","",SUM($M$2:M285))</f>
        <v/>
      </c>
      <c r="Q285" s="3">
        <f>IF(P285="","",MAX($P$2:P285))</f>
        <v/>
      </c>
      <c r="R285" s="3">
        <f>IF(P285="","",P285-Q285)</f>
        <v/>
      </c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3">
        <f>H286-G286</f>
        <v/>
      </c>
      <c r="N286" s="3">
        <f>IF(G286=0,"",M286/G286)</f>
        <v/>
      </c>
      <c r="O286" s="3">
        <f>IF(I286=0,"",M286/(I286/60))</f>
        <v/>
      </c>
      <c r="P286" s="3">
        <f>IF(A286="","",SUM($M$2:M286))</f>
        <v/>
      </c>
      <c r="Q286" s="3">
        <f>IF(P286="","",MAX($P$2:P286))</f>
        <v/>
      </c>
      <c r="R286" s="3">
        <f>IF(P286="","",P286-Q286)</f>
        <v/>
      </c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3">
        <f>H287-G287</f>
        <v/>
      </c>
      <c r="N287" s="3">
        <f>IF(G287=0,"",M287/G287)</f>
        <v/>
      </c>
      <c r="O287" s="3">
        <f>IF(I287=0,"",M287/(I287/60))</f>
        <v/>
      </c>
      <c r="P287" s="3">
        <f>IF(A287="","",SUM($M$2:M287))</f>
        <v/>
      </c>
      <c r="Q287" s="3">
        <f>IF(P287="","",MAX($P$2:P287))</f>
        <v/>
      </c>
      <c r="R287" s="3">
        <f>IF(P287="","",P287-Q287)</f>
        <v/>
      </c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3">
        <f>H288-G288</f>
        <v/>
      </c>
      <c r="N288" s="3">
        <f>IF(G288=0,"",M288/G288)</f>
        <v/>
      </c>
      <c r="O288" s="3">
        <f>IF(I288=0,"",M288/(I288/60))</f>
        <v/>
      </c>
      <c r="P288" s="3">
        <f>IF(A288="","",SUM($M$2:M288))</f>
        <v/>
      </c>
      <c r="Q288" s="3">
        <f>IF(P288="","",MAX($P$2:P288))</f>
        <v/>
      </c>
      <c r="R288" s="3">
        <f>IF(P288="","",P288-Q288)</f>
        <v/>
      </c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3">
        <f>H289-G289</f>
        <v/>
      </c>
      <c r="N289" s="3">
        <f>IF(G289=0,"",M289/G289)</f>
        <v/>
      </c>
      <c r="O289" s="3">
        <f>IF(I289=0,"",M289/(I289/60))</f>
        <v/>
      </c>
      <c r="P289" s="3">
        <f>IF(A289="","",SUM($M$2:M289))</f>
        <v/>
      </c>
      <c r="Q289" s="3">
        <f>IF(P289="","",MAX($P$2:P289))</f>
        <v/>
      </c>
      <c r="R289" s="3">
        <f>IF(P289="","",P289-Q289)</f>
        <v/>
      </c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3">
        <f>H290-G290</f>
        <v/>
      </c>
      <c r="N290" s="3">
        <f>IF(G290=0,"",M290/G290)</f>
        <v/>
      </c>
      <c r="O290" s="3">
        <f>IF(I290=0,"",M290/(I290/60))</f>
        <v/>
      </c>
      <c r="P290" s="3">
        <f>IF(A290="","",SUM($M$2:M290))</f>
        <v/>
      </c>
      <c r="Q290" s="3">
        <f>IF(P290="","",MAX($P$2:P290))</f>
        <v/>
      </c>
      <c r="R290" s="3">
        <f>IF(P290="","",P290-Q290)</f>
        <v/>
      </c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3">
        <f>H291-G291</f>
        <v/>
      </c>
      <c r="N291" s="3">
        <f>IF(G291=0,"",M291/G291)</f>
        <v/>
      </c>
      <c r="O291" s="3">
        <f>IF(I291=0,"",M291/(I291/60))</f>
        <v/>
      </c>
      <c r="P291" s="3">
        <f>IF(A291="","",SUM($M$2:M291))</f>
        <v/>
      </c>
      <c r="Q291" s="3">
        <f>IF(P291="","",MAX($P$2:P291))</f>
        <v/>
      </c>
      <c r="R291" s="3">
        <f>IF(P291="","",P291-Q291)</f>
        <v/>
      </c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3">
        <f>H292-G292</f>
        <v/>
      </c>
      <c r="N292" s="3">
        <f>IF(G292=0,"",M292/G292)</f>
        <v/>
      </c>
      <c r="O292" s="3">
        <f>IF(I292=0,"",M292/(I292/60))</f>
        <v/>
      </c>
      <c r="P292" s="3">
        <f>IF(A292="","",SUM($M$2:M292))</f>
        <v/>
      </c>
      <c r="Q292" s="3">
        <f>IF(P292="","",MAX($P$2:P292))</f>
        <v/>
      </c>
      <c r="R292" s="3">
        <f>IF(P292="","",P292-Q292)</f>
        <v/>
      </c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3">
        <f>H293-G293</f>
        <v/>
      </c>
      <c r="N293" s="3">
        <f>IF(G293=0,"",M293/G293)</f>
        <v/>
      </c>
      <c r="O293" s="3">
        <f>IF(I293=0,"",M293/(I293/60))</f>
        <v/>
      </c>
      <c r="P293" s="3">
        <f>IF(A293="","",SUM($M$2:M293))</f>
        <v/>
      </c>
      <c r="Q293" s="3">
        <f>IF(P293="","",MAX($P$2:P293))</f>
        <v/>
      </c>
      <c r="R293" s="3">
        <f>IF(P293="","",P293-Q293)</f>
        <v/>
      </c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3">
        <f>H294-G294</f>
        <v/>
      </c>
      <c r="N294" s="3">
        <f>IF(G294=0,"",M294/G294)</f>
        <v/>
      </c>
      <c r="O294" s="3">
        <f>IF(I294=0,"",M294/(I294/60))</f>
        <v/>
      </c>
      <c r="P294" s="3">
        <f>IF(A294="","",SUM($M$2:M294))</f>
        <v/>
      </c>
      <c r="Q294" s="3">
        <f>IF(P294="","",MAX($P$2:P294))</f>
        <v/>
      </c>
      <c r="R294" s="3">
        <f>IF(P294="","",P294-Q294)</f>
        <v/>
      </c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3">
        <f>H295-G295</f>
        <v/>
      </c>
      <c r="N295" s="3">
        <f>IF(G295=0,"",M295/G295)</f>
        <v/>
      </c>
      <c r="O295" s="3">
        <f>IF(I295=0,"",M295/(I295/60))</f>
        <v/>
      </c>
      <c r="P295" s="3">
        <f>IF(A295="","",SUM($M$2:M295))</f>
        <v/>
      </c>
      <c r="Q295" s="3">
        <f>IF(P295="","",MAX($P$2:P295))</f>
        <v/>
      </c>
      <c r="R295" s="3">
        <f>IF(P295="","",P295-Q295)</f>
        <v/>
      </c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3">
        <f>H296-G296</f>
        <v/>
      </c>
      <c r="N296" s="3">
        <f>IF(G296=0,"",M296/G296)</f>
        <v/>
      </c>
      <c r="O296" s="3">
        <f>IF(I296=0,"",M296/(I296/60))</f>
        <v/>
      </c>
      <c r="P296" s="3">
        <f>IF(A296="","",SUM($M$2:M296))</f>
        <v/>
      </c>
      <c r="Q296" s="3">
        <f>IF(P296="","",MAX($P$2:P296))</f>
        <v/>
      </c>
      <c r="R296" s="3">
        <f>IF(P296="","",P296-Q296)</f>
        <v/>
      </c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3">
        <f>H297-G297</f>
        <v/>
      </c>
      <c r="N297" s="3">
        <f>IF(G297=0,"",M297/G297)</f>
        <v/>
      </c>
      <c r="O297" s="3">
        <f>IF(I297=0,"",M297/(I297/60))</f>
        <v/>
      </c>
      <c r="P297" s="3">
        <f>IF(A297="","",SUM($M$2:M297))</f>
        <v/>
      </c>
      <c r="Q297" s="3">
        <f>IF(P297="","",MAX($P$2:P297))</f>
        <v/>
      </c>
      <c r="R297" s="3">
        <f>IF(P297="","",P297-Q297)</f>
        <v/>
      </c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3">
        <f>H298-G298</f>
        <v/>
      </c>
      <c r="N298" s="3">
        <f>IF(G298=0,"",M298/G298)</f>
        <v/>
      </c>
      <c r="O298" s="3">
        <f>IF(I298=0,"",M298/(I298/60))</f>
        <v/>
      </c>
      <c r="P298" s="3">
        <f>IF(A298="","",SUM($M$2:M298))</f>
        <v/>
      </c>
      <c r="Q298" s="3">
        <f>IF(P298="","",MAX($P$2:P298))</f>
        <v/>
      </c>
      <c r="R298" s="3">
        <f>IF(P298="","",P298-Q298)</f>
        <v/>
      </c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3">
        <f>H299-G299</f>
        <v/>
      </c>
      <c r="N299" s="3">
        <f>IF(G299=0,"",M299/G299)</f>
        <v/>
      </c>
      <c r="O299" s="3">
        <f>IF(I299=0,"",M299/(I299/60))</f>
        <v/>
      </c>
      <c r="P299" s="3">
        <f>IF(A299="","",SUM($M$2:M299))</f>
        <v/>
      </c>
      <c r="Q299" s="3">
        <f>IF(P299="","",MAX($P$2:P299))</f>
        <v/>
      </c>
      <c r="R299" s="3">
        <f>IF(P299="","",P299-Q299)</f>
        <v/>
      </c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3">
        <f>H300-G300</f>
        <v/>
      </c>
      <c r="N300" s="3">
        <f>IF(G300=0,"",M300/G300)</f>
        <v/>
      </c>
      <c r="O300" s="3">
        <f>IF(I300=0,"",M300/(I300/60))</f>
        <v/>
      </c>
      <c r="P300" s="3">
        <f>IF(A300="","",SUM($M$2:M300))</f>
        <v/>
      </c>
      <c r="Q300" s="3">
        <f>IF(P300="","",MAX($P$2:P300))</f>
        <v/>
      </c>
      <c r="R300" s="3">
        <f>IF(P300="","",P300-Q300)</f>
        <v/>
      </c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3">
        <f>H301-G301</f>
        <v/>
      </c>
      <c r="N301" s="3">
        <f>IF(G301=0,"",M301/G301)</f>
        <v/>
      </c>
      <c r="O301" s="3">
        <f>IF(I301=0,"",M301/(I301/60))</f>
        <v/>
      </c>
      <c r="P301" s="3">
        <f>IF(A301="","",SUM($M$2:M301))</f>
        <v/>
      </c>
      <c r="Q301" s="3">
        <f>IF(P301="","",MAX($P$2:P301))</f>
        <v/>
      </c>
      <c r="R301" s="3">
        <f>IF(P301="","",P301-Q301)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4" t="inlineStr">
        <is>
          <t>Metric</t>
        </is>
      </c>
      <c r="B1" s="4" t="inlineStr">
        <is>
          <t>Valeur</t>
        </is>
      </c>
    </row>
    <row r="2">
      <c r="A2" s="5" t="inlineStr">
        <is>
          <t>Sessions (nb)</t>
        </is>
      </c>
      <c r="B2" s="3">
        <f>COUNTIF(Sessions!A2:A301,"&lt;&gt;")</f>
        <v/>
      </c>
    </row>
    <row r="3">
      <c r="A3" s="5" t="inlineStr">
        <is>
          <t>Total Buy-in (€)</t>
        </is>
      </c>
      <c r="B3" s="3">
        <f>SUM(Sessions!G2:G301)</f>
        <v/>
      </c>
    </row>
    <row r="4">
      <c r="A4" s="5" t="inlineStr">
        <is>
          <t>Total Cash-out (€)</t>
        </is>
      </c>
      <c r="B4" s="3">
        <f>SUM(Sessions!H2:H301)</f>
        <v/>
      </c>
    </row>
    <row r="5">
      <c r="A5" s="5" t="inlineStr">
        <is>
          <t>P&amp;L total (€)</t>
        </is>
      </c>
      <c r="B5" s="3">
        <f>SUM(Sessions!M2:M301)</f>
        <v/>
      </c>
    </row>
    <row r="6">
      <c r="A6" s="5" t="inlineStr">
        <is>
          <t>ROI global</t>
        </is>
      </c>
      <c r="B6" s="3">
        <f>IF(SUM(Sessions!G2:G301)=0,"",SUM(Sessions!M2:M301)/SUM(Sessions!G2:G301))</f>
        <v/>
      </c>
    </row>
    <row r="7">
      <c r="A7" s="5" t="inlineStr">
        <is>
          <t>Duree totale (h)</t>
        </is>
      </c>
      <c r="B7" s="3">
        <f>SUM(Sessions!I2:I301)/60</f>
        <v/>
      </c>
    </row>
    <row r="8">
      <c r="A8" s="5" t="inlineStr">
        <is>
          <t>P&amp;L / heure (€)</t>
        </is>
      </c>
      <c r="B8" s="3">
        <f>IF(SUM(Sessions!I2:I301)=0,"",SUM(Sessions!M2:M301)/(SUM(Sessions!I2:I301)/60))</f>
        <v/>
      </c>
    </row>
    <row r="9">
      <c r="A9" s="5" t="inlineStr">
        <is>
          <t>Max drawdown (€)</t>
        </is>
      </c>
      <c r="B9" s="3">
        <f>MIN(Sessions!R2:R301)</f>
        <v/>
      </c>
    </row>
    <row r="10">
      <c r="A10" s="5" t="inlineStr">
        <is>
          <t>Meilleur P&amp;L (session)</t>
        </is>
      </c>
      <c r="B10" s="3">
        <f>MAX(Sessions!M2:M301)</f>
        <v/>
      </c>
    </row>
    <row r="11">
      <c r="A11" s="5" t="inlineStr">
        <is>
          <t>Pire P&amp;L (session)</t>
        </is>
      </c>
      <c r="B11" s="3">
        <f>MIN(Sessions!M2:M301)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2026-01-04T21:34:58Z</dcterms:created>
  <dcterms:modified xmlns:dcterms="http://purl.org/dc/terms/" xmlns:xsi="http://www.w3.org/2001/XMLSchema-instance" xsi:type="dcterms:W3CDTF">2026-01-04T21:34:59Z</dcterms:modified>
</cp:coreProperties>
</file>